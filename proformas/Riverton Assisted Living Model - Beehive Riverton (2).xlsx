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al Overview" sheetId="1" r:id="rId5"/>
    <sheet state="visible" name="Sam Copy of Deal Overview" sheetId="2" r:id="rId6"/>
    <sheet state="visible" name="Sources and Uses" sheetId="3" r:id="rId7"/>
    <sheet state="visible" name="Proforma" sheetId="4" r:id="rId8"/>
    <sheet state="visible" name="Proforma Combined" sheetId="5" r:id="rId9"/>
    <sheet state="visible" name="3 Year Proforma" sheetId="6" r:id="rId10"/>
    <sheet state="visible" name="Reimbursements" sheetId="7" r:id="rId11"/>
    <sheet state="visible" name="Capital Stack" sheetId="8" r:id="rId12"/>
  </sheets>
  <definedNames>
    <definedName hidden="1" localSheetId="7" name="_xlnm._FilterDatabase">'Capital Stack'!$A$1:$J$16</definedName>
  </definedNames>
  <calcPr/>
</workbook>
</file>

<file path=xl/sharedStrings.xml><?xml version="1.0" encoding="utf-8"?>
<sst xmlns="http://schemas.openxmlformats.org/spreadsheetml/2006/main" count="565" uniqueCount="299">
  <si>
    <t>Deal Summary</t>
  </si>
  <si>
    <t>Sensitivity Analysis</t>
  </si>
  <si>
    <t>Cost Summary</t>
  </si>
  <si>
    <t xml:space="preserve">Cost </t>
  </si>
  <si>
    <t>Scenarios &gt;&gt;&gt;</t>
  </si>
  <si>
    <t>Disappointed</t>
  </si>
  <si>
    <t>Conservative</t>
  </si>
  <si>
    <t>Expected</t>
  </si>
  <si>
    <t>Aggressive</t>
  </si>
  <si>
    <t>Purchase Price</t>
  </si>
  <si>
    <t>Gross Potential Rent</t>
  </si>
  <si>
    <t>Vacancy</t>
  </si>
  <si>
    <t>Total Fees</t>
  </si>
  <si>
    <t>Other Income</t>
  </si>
  <si>
    <t>Total Equity</t>
  </si>
  <si>
    <t>Effective Gross Income</t>
  </si>
  <si>
    <t>Reserve</t>
  </si>
  <si>
    <t>Expenses</t>
  </si>
  <si>
    <t>Total Cost</t>
  </si>
  <si>
    <t>Management Fees 3rd Party</t>
  </si>
  <si>
    <t>Vega Asset Management Fees</t>
  </si>
  <si>
    <t>Total</t>
  </si>
  <si>
    <t>$</t>
  </si>
  <si>
    <t>%</t>
  </si>
  <si>
    <t>Misc Unexpected Expense Reserve</t>
  </si>
  <si>
    <t>Equity</t>
  </si>
  <si>
    <t>Net Operating Income</t>
  </si>
  <si>
    <t>Debt</t>
  </si>
  <si>
    <t>Total Required Capital From All Sources</t>
  </si>
  <si>
    <t>Annual Payment</t>
  </si>
  <si>
    <t>Cash Flow</t>
  </si>
  <si>
    <t>Investor Pref</t>
  </si>
  <si>
    <t>Remaining</t>
  </si>
  <si>
    <t>Sponsor Promote</t>
  </si>
  <si>
    <t>Investor Split</t>
  </si>
  <si>
    <t>Sponsor Split</t>
  </si>
  <si>
    <t>Total Investor Cash Flow Upon Stabilization</t>
  </si>
  <si>
    <t>1st Year Cash on Cash</t>
  </si>
  <si>
    <t xml:space="preserve">1st Year Principal Reduction </t>
  </si>
  <si>
    <t>Total 1st Year benefit</t>
  </si>
  <si>
    <t>Target Exit Price (8% Cap Rate)</t>
  </si>
  <si>
    <t>Sale Cost at Year 5</t>
  </si>
  <si>
    <t>Loan Balance at Year 5</t>
  </si>
  <si>
    <t>Net Proceeds at Sale End of Year 5</t>
  </si>
  <si>
    <t>Profit</t>
  </si>
  <si>
    <t>Sponsor Fees</t>
  </si>
  <si>
    <t>Total Investor Benefit</t>
  </si>
  <si>
    <t>Total Investor Return</t>
  </si>
  <si>
    <t>Annualized Return</t>
  </si>
  <si>
    <t>Total Return (3 Properties)</t>
  </si>
  <si>
    <t>Cash on Cash Yr 1</t>
  </si>
  <si>
    <t>Cash on Cash Yr 2</t>
  </si>
  <si>
    <t>Cash on Cash Yr 3</t>
  </si>
  <si>
    <t>Sources and Uses of Funds</t>
  </si>
  <si>
    <t>Acquisition Assumptions</t>
  </si>
  <si>
    <t>Lender</t>
  </si>
  <si>
    <t>Amount</t>
  </si>
  <si>
    <t>Interest Rate</t>
  </si>
  <si>
    <t>Term</t>
  </si>
  <si>
    <t>Monthly Payment</t>
  </si>
  <si>
    <t>Principal Reduction</t>
  </si>
  <si>
    <t>Year 1</t>
  </si>
  <si>
    <t>Year 2</t>
  </si>
  <si>
    <t>Year 3</t>
  </si>
  <si>
    <t>Year 4</t>
  </si>
  <si>
    <t>Year 5</t>
  </si>
  <si>
    <t>Total Project Cost</t>
  </si>
  <si>
    <t>1st Position</t>
  </si>
  <si>
    <t>1st Position Loan (Bank)</t>
  </si>
  <si>
    <t>2nd Position</t>
  </si>
  <si>
    <t>2nd Position Loan (SBA)</t>
  </si>
  <si>
    <t>Seller</t>
  </si>
  <si>
    <t>3rd Position Seller Finance</t>
  </si>
  <si>
    <t>Monthly Debt Service</t>
  </si>
  <si>
    <t>Total Principal Reduction</t>
  </si>
  <si>
    <t>Total Debt</t>
  </si>
  <si>
    <t>Annual Debt Service</t>
  </si>
  <si>
    <t>Loan Balance</t>
  </si>
  <si>
    <t>Down Payment</t>
  </si>
  <si>
    <t>Excess Land Value</t>
  </si>
  <si>
    <t>1st Year Cash on Cash Return</t>
  </si>
  <si>
    <t>Fees</t>
  </si>
  <si>
    <t>Total Sources and Uses</t>
  </si>
  <si>
    <t>1st bank rate:</t>
  </si>
  <si>
    <t>Loan amount:</t>
  </si>
  <si>
    <t>Bank Fees</t>
  </si>
  <si>
    <t>Bank Required Down Payment</t>
  </si>
  <si>
    <t>Vega Capital Markets Fee</t>
  </si>
  <si>
    <t>SBA Lender Participation</t>
  </si>
  <si>
    <t>Acquisition Fee</t>
  </si>
  <si>
    <t>Due Diligence Costs</t>
  </si>
  <si>
    <t xml:space="preserve">Total </t>
  </si>
  <si>
    <t>Closing Costs</t>
  </si>
  <si>
    <t>Vega Riverton AL LLC</t>
  </si>
  <si>
    <t>Summit</t>
  </si>
  <si>
    <t>Utah</t>
  </si>
  <si>
    <t>New Building</t>
  </si>
  <si>
    <t>Land Cost</t>
  </si>
  <si>
    <t>Building Cost</t>
  </si>
  <si>
    <t>Soft Costs</t>
  </si>
  <si>
    <t>Square Feet of New Building</t>
  </si>
  <si>
    <t>Estimated Net Income of New Building</t>
  </si>
  <si>
    <t>Cap</t>
  </si>
  <si>
    <t>Value of New Building</t>
  </si>
  <si>
    <t>All In</t>
  </si>
  <si>
    <t>Existing Building</t>
  </si>
  <si>
    <t>Excess Land</t>
  </si>
  <si>
    <t>Total Stabilized NOI</t>
  </si>
  <si>
    <t>TIC Agreement</t>
  </si>
  <si>
    <t>Closing Docs</t>
  </si>
  <si>
    <t>Fund II ***8204</t>
  </si>
  <si>
    <t>Stabilized Value</t>
  </si>
  <si>
    <t>Journal Entry 1 - Acquisition fees</t>
  </si>
  <si>
    <t>Ownership</t>
  </si>
  <si>
    <t xml:space="preserve">Current Funds </t>
  </si>
  <si>
    <t>Transfer</t>
  </si>
  <si>
    <t>Total Profit</t>
  </si>
  <si>
    <t>Account</t>
  </si>
  <si>
    <t>Debits</t>
  </si>
  <si>
    <t>Credits</t>
  </si>
  <si>
    <t>Fund II - Vega Riverton AL LLC</t>
  </si>
  <si>
    <t>Acqusitioin and Due Diligence Cost</t>
  </si>
  <si>
    <t>Sandy Assisted Living Personal Holdings LLC</t>
  </si>
  <si>
    <t>&lt;---- The contributions was higher to account for the equity required for new build</t>
  </si>
  <si>
    <t>Capital from Vega Assisted Living Fund II, LP</t>
  </si>
  <si>
    <t>Summit Home Solutions LC</t>
  </si>
  <si>
    <t>Journal Entry 2 - Building/Mortgages</t>
  </si>
  <si>
    <t>Buildings</t>
  </si>
  <si>
    <t>Land</t>
  </si>
  <si>
    <t>Mortgages</t>
  </si>
  <si>
    <t>Total Fund percentage</t>
  </si>
  <si>
    <t>Total Fund Equity Required</t>
  </si>
  <si>
    <t>Capital from Summit Home Solutions</t>
  </si>
  <si>
    <t>Capital from Utah Bankruptcy Inc.</t>
  </si>
  <si>
    <t>Fund II Journal Entry - Credit from Vega Property Holdings LLC</t>
  </si>
  <si>
    <t xml:space="preserve">Balance Sheet </t>
  </si>
  <si>
    <t>LP Capital Contributions</t>
  </si>
  <si>
    <t>Funds in Property Balance Sheet from Fund II</t>
  </si>
  <si>
    <t>Vega Sandy City AL LLC</t>
  </si>
  <si>
    <t>Funds in Fund Balance Sheet for Property</t>
  </si>
  <si>
    <t>Loan Consulting Fee Paid to Vega Capital Markets LLC</t>
  </si>
  <si>
    <t>3 Year Historicals (Actuals)</t>
  </si>
  <si>
    <t>Year</t>
  </si>
  <si>
    <t>2025 YTD (march)</t>
  </si>
  <si>
    <t>2025 Annualized</t>
  </si>
  <si>
    <t>Proforma Year 1</t>
  </si>
  <si>
    <t>Proforma Year 2</t>
  </si>
  <si>
    <t>Proforma Year 3</t>
  </si>
  <si>
    <t>Proforma Year 4</t>
  </si>
  <si>
    <t>Proforma Year 5</t>
  </si>
  <si>
    <t>Year 1 Month 1</t>
  </si>
  <si>
    <t>Year 1 Month 2</t>
  </si>
  <si>
    <t>Year 1 Month 3</t>
  </si>
  <si>
    <t>Year 1 Month 4</t>
  </si>
  <si>
    <t>Year 1 Month 5</t>
  </si>
  <si>
    <t>Year 1 Month 6</t>
  </si>
  <si>
    <t>Year 1 Month 7</t>
  </si>
  <si>
    <t>Year 1 Month 8</t>
  </si>
  <si>
    <t>Year 1 Month 9</t>
  </si>
  <si>
    <t>Year 1 Month 10</t>
  </si>
  <si>
    <t>Year 1 Month 11</t>
  </si>
  <si>
    <t>Year 1 Month 12</t>
  </si>
  <si>
    <t>Potential Income</t>
  </si>
  <si>
    <t>Income</t>
  </si>
  <si>
    <t>Day Care</t>
  </si>
  <si>
    <t>Rental Income</t>
  </si>
  <si>
    <t>Move In Fees</t>
  </si>
  <si>
    <t>Total Income</t>
  </si>
  <si>
    <t>Accounting</t>
  </si>
  <si>
    <t>Advertising/Promotional</t>
  </si>
  <si>
    <t>Bank Charges</t>
  </si>
  <si>
    <t>Business licenses/Permits</t>
  </si>
  <si>
    <t>Nursing</t>
  </si>
  <si>
    <t>Dietician</t>
  </si>
  <si>
    <t>Dues &amp; Subscriptions</t>
  </si>
  <si>
    <t>Administrator Expense</t>
  </si>
  <si>
    <t>Employee Expenses</t>
  </si>
  <si>
    <t>Franchise Fees</t>
  </si>
  <si>
    <t>Cleaning</t>
  </si>
  <si>
    <t>Household Supplies</t>
  </si>
  <si>
    <t>Management Fees</t>
  </si>
  <si>
    <t>General business expenses</t>
  </si>
  <si>
    <t>Insurance</t>
  </si>
  <si>
    <t>Liability insurance</t>
  </si>
  <si>
    <t>Property insurance</t>
  </si>
  <si>
    <t>Lease Payments - Equipment</t>
  </si>
  <si>
    <t>Medical Supplies</t>
  </si>
  <si>
    <t>Office expenses</t>
  </si>
  <si>
    <t>Operations Contract Service</t>
  </si>
  <si>
    <t>Placement Fees</t>
  </si>
  <si>
    <t>Raw Food</t>
  </si>
  <si>
    <t>Repairs &amp; maintenance</t>
  </si>
  <si>
    <t>Resident Activities</t>
  </si>
  <si>
    <t>Taxes paid</t>
  </si>
  <si>
    <t>Property taxes</t>
  </si>
  <si>
    <t>Personal Property Taxes</t>
  </si>
  <si>
    <t>Travel/Vehicle</t>
  </si>
  <si>
    <t>Utilities</t>
  </si>
  <si>
    <t>Misc Expense</t>
  </si>
  <si>
    <t>Total Expenses</t>
  </si>
  <si>
    <t>Cap Rate</t>
  </si>
  <si>
    <t>Expense Ratio</t>
  </si>
  <si>
    <t>Misc Unforseen/Reserves</t>
  </si>
  <si>
    <t>Mortgage</t>
  </si>
  <si>
    <t>Asset Management Fees</t>
  </si>
  <si>
    <t>Net Cash Fow</t>
  </si>
  <si>
    <t>Return</t>
  </si>
  <si>
    <t>Sale Price</t>
  </si>
  <si>
    <t>Sale Costs</t>
  </si>
  <si>
    <t>Net Proceeds</t>
  </si>
  <si>
    <t>Investor Preferred Return</t>
  </si>
  <si>
    <t>Net Estimated Annual Cash Flow to Investors</t>
  </si>
  <si>
    <t>Estimated Return to Investors</t>
  </si>
  <si>
    <t>Total Sponsor Fees</t>
  </si>
  <si>
    <t>Cash flow Promote</t>
  </si>
  <si>
    <t>Disposition Fees if we sell</t>
  </si>
  <si>
    <t>Loan Fees</t>
  </si>
  <si>
    <t>Promote on Sale</t>
  </si>
  <si>
    <t>Total Cash Flow</t>
  </si>
  <si>
    <t>Total Profit at Sale</t>
  </si>
  <si>
    <t>Expenses Removed</t>
  </si>
  <si>
    <t>Total Investor Pref</t>
  </si>
  <si>
    <t>Related Party Rent</t>
  </si>
  <si>
    <t>Net to Split</t>
  </si>
  <si>
    <t>Owner Meals</t>
  </si>
  <si>
    <t>Sponsor</t>
  </si>
  <si>
    <t>Owner Travel</t>
  </si>
  <si>
    <t>$ -</t>
  </si>
  <si>
    <t>Investor Total</t>
  </si>
  <si>
    <t>Vehicle Expense</t>
  </si>
  <si>
    <t>Interest Expense</t>
  </si>
  <si>
    <t>West Jordan</t>
  </si>
  <si>
    <t>Year 0</t>
  </si>
  <si>
    <t>Net Proceeds from Sale</t>
  </si>
  <si>
    <t>Sponsor Share</t>
  </si>
  <si>
    <t>Total to Investor</t>
  </si>
  <si>
    <t>Irr</t>
  </si>
  <si>
    <t>Total Return</t>
  </si>
  <si>
    <t>Proforma</t>
  </si>
  <si>
    <t>Actuals</t>
  </si>
  <si>
    <t>Vacancy @ 5%</t>
  </si>
  <si>
    <t>Excluded Expenses</t>
  </si>
  <si>
    <t>Owner HSA</t>
  </si>
  <si>
    <t>Owner Life Insurance</t>
  </si>
  <si>
    <t>Owner Salary</t>
  </si>
  <si>
    <t>Owner Vehicle</t>
  </si>
  <si>
    <t>Owner Storage Unit</t>
  </si>
  <si>
    <t>Owner Short Term Interst</t>
  </si>
  <si>
    <t>Owner Other Income</t>
  </si>
  <si>
    <t>Owner Mortgage Payment</t>
  </si>
  <si>
    <t>Check</t>
  </si>
  <si>
    <t>Deposited to</t>
  </si>
  <si>
    <t>Earnest Money</t>
  </si>
  <si>
    <t>Cory 1031 Money</t>
  </si>
  <si>
    <t>Apprisal</t>
  </si>
  <si>
    <t>Inspection</t>
  </si>
  <si>
    <t>Environmental</t>
  </si>
  <si>
    <t>Investor</t>
  </si>
  <si>
    <t>Name/Entity</t>
  </si>
  <si>
    <t>Final Ownership</t>
  </si>
  <si>
    <t>Email</t>
  </si>
  <si>
    <t>Identifier</t>
  </si>
  <si>
    <t>Signed Docs</t>
  </si>
  <si>
    <t>Wire</t>
  </si>
  <si>
    <t>Both</t>
  </si>
  <si>
    <t>Reached out</t>
  </si>
  <si>
    <t xml:space="preserve">Followed up. </t>
  </si>
  <si>
    <t>Cam Cope</t>
  </si>
  <si>
    <t>Maybe</t>
  </si>
  <si>
    <t>Bryan Griffiths</t>
  </si>
  <si>
    <t>Alex Smith</t>
  </si>
  <si>
    <t>Randy Clayton</t>
  </si>
  <si>
    <t>Ben Clayton</t>
  </si>
  <si>
    <t>Jeff Meihoffer</t>
  </si>
  <si>
    <t>Rich Toloti</t>
  </si>
  <si>
    <t>Woody Klemetson</t>
  </si>
  <si>
    <t>Sterling Snow</t>
  </si>
  <si>
    <t>Blakely Cragun</t>
  </si>
  <si>
    <t>Adam and Andrew Law</t>
  </si>
  <si>
    <t>Ray Dodd</t>
  </si>
  <si>
    <t>Todd Orullian</t>
  </si>
  <si>
    <t>Adam Christensen</t>
  </si>
  <si>
    <t>Matt Boardman</t>
  </si>
  <si>
    <t>Scott Eliason</t>
  </si>
  <si>
    <t>Devin Deaton</t>
  </si>
  <si>
    <t>No</t>
  </si>
  <si>
    <t>Cameron Lee</t>
  </si>
  <si>
    <t>Eric Motzkus</t>
  </si>
  <si>
    <t>Aaron Meier</t>
  </si>
  <si>
    <t>Mike Peterson</t>
  </si>
  <si>
    <t>Jon Waddoups</t>
  </si>
  <si>
    <t>Joel Reichert</t>
  </si>
  <si>
    <t>Brad and Emily Forsyth</t>
  </si>
  <si>
    <t>James Brewster</t>
  </si>
  <si>
    <t>Lance Jorgenson</t>
  </si>
  <si>
    <t>Dave Soper</t>
  </si>
  <si>
    <t>Potential Others</t>
  </si>
  <si>
    <t>American Enterprises</t>
  </si>
  <si>
    <t>Jake Despain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</si>
</sst>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&quot;$&quot;#,##0"/>
    <numFmt numFmtId="165" formatCode="&quot;$&quot;#,##0.00"/>
    <numFmt numFmtId="166" formatCode="&quot;$&quot;#,##0.00_);\(&quot;$&quot;#,##0.00\)"/>
    <numFmt numFmtId="167" formatCode="&quot;$&quot;#,##0_);\(&quot;$&quot;#,##0\)"/>
    <numFmt numFmtId="168" formatCode="_(&quot;$&quot;* #,##0.00_);_(&quot;$&quot;* \(#,##0.00\);_(&quot;$&quot;* &quot;-&quot;??_);_(@_)"/>
    <numFmt numFmtId="169" formatCode="m\-d\-yy"/>
    <numFmt numFmtId="170" formatCode="m-d-yy"/>
    <numFmt numFmtId="171" formatCode="&quot;$&quot;#,##0.00_);[Red]\(&quot;$&quot;#,##0.00\)"/>
    <numFmt numFmtId="172" formatCode="0.0%"/>
    <numFmt numFmtId="173" formatCode="_([$$-409]* #,##0.00_);_([$$-409]* \(#,##0.00\);_([$$-409]* &quot;-&quot;??_);_(@_)"/>
    <numFmt numFmtId="174" formatCode="0.0000%"/>
  </numFmts>
  <fonts count="26">
    <font>
      <sz val="10.0"/>
      <color rgb="FF000000"/>
      <name val="Arial"/>
      <scheme val="minor"/>
    </font>
    <font>
      <b/>
      <sz val="16.0"/>
      <color theme="1"/>
      <name val="Calibri"/>
    </font>
    <font>
      <color theme="1"/>
      <name val="Arial"/>
    </font>
    <font>
      <b/>
      <color rgb="FFFFFFFF"/>
      <name val="Arial"/>
    </font>
    <font>
      <b/>
      <i/>
      <color theme="1"/>
      <name val="Arial"/>
    </font>
    <font>
      <b/>
      <color theme="1"/>
      <name val="Arial"/>
    </font>
    <font>
      <b/>
      <color rgb="FF0000FF"/>
      <name val="Arial"/>
    </font>
    <font>
      <color theme="1"/>
      <name val="Arial"/>
      <scheme val="minor"/>
    </font>
    <font>
      <b/>
      <sz val="11.0"/>
      <color rgb="FFFFFFFF"/>
      <name val="Calibri"/>
    </font>
    <font/>
    <font>
      <sz val="11.0"/>
      <color theme="1"/>
      <name val="Calibri"/>
    </font>
    <font>
      <sz val="11.0"/>
      <color rgb="FF0000FF"/>
      <name val="Calibri"/>
    </font>
    <font>
      <sz val="11.0"/>
      <color rgb="FF000000"/>
      <name val="Calibri"/>
    </font>
    <font>
      <sz val="10.0"/>
      <color theme="1"/>
      <name val="Arial"/>
    </font>
    <font>
      <sz val="10.0"/>
      <color rgb="FF000000"/>
      <name val="Arial"/>
    </font>
    <font>
      <b/>
      <sz val="10.0"/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b/>
      <sz val="11.0"/>
      <color rgb="FF000000"/>
      <name val="Arial"/>
    </font>
    <font>
      <sz val="11.0"/>
      <color rgb="FF000000"/>
      <name val="Arial"/>
    </font>
    <font>
      <b/>
      <sz val="10.0"/>
      <color rgb="FF000000"/>
      <name val="Arial"/>
    </font>
    <font>
      <sz val="11.0"/>
      <color rgb="FF000000"/>
      <name val="Aptos Narrow"/>
    </font>
    <font>
      <sz val="11.0"/>
      <color theme="1"/>
      <name val="Aptos Narrow"/>
    </font>
    <font>
      <sz val="11.0"/>
      <color theme="1"/>
      <name val="Arial"/>
    </font>
    <font>
      <b/>
      <u/>
      <sz val="10.0"/>
      <color theme="1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00396F"/>
        <bgColor rgb="FF00396F"/>
      </patternFill>
    </fill>
    <fill>
      <patternFill patternType="solid">
        <fgColor rgb="FFF1C232"/>
        <bgColor rgb="FFF1C232"/>
      </patternFill>
    </fill>
    <fill>
      <patternFill patternType="solid">
        <fgColor rgb="FFFFE599"/>
        <bgColor rgb="FFFFE599"/>
      </patternFill>
    </fill>
    <fill>
      <patternFill patternType="solid">
        <fgColor rgb="FF6AA84F"/>
        <bgColor rgb="FF6AA84F"/>
      </patternFill>
    </fill>
    <fill>
      <patternFill patternType="solid">
        <fgColor rgb="FFA4C2F4"/>
        <bgColor rgb="FFA4C2F4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38761D"/>
        <bgColor rgb="FF38761D"/>
      </patternFill>
    </fill>
    <fill>
      <patternFill patternType="solid">
        <fgColor rgb="FF92D050"/>
        <bgColor rgb="FF92D050"/>
      </patternFill>
    </fill>
  </fills>
  <borders count="31">
    <border/>
    <border>
      <bottom style="thick">
        <color rgb="FF0072DF"/>
      </bottom>
    </border>
    <border>
      <left/>
      <right/>
      <top/>
      <bottom/>
    </border>
    <border>
      <left/>
      <top/>
      <bottom/>
    </border>
    <border>
      <left style="thick">
        <color rgb="FF000000"/>
      </left>
      <right style="thick">
        <color rgb="FF000000"/>
      </right>
      <top style="thick">
        <color rgb="FF000000"/>
      </top>
      <bottom/>
    </border>
    <border>
      <right/>
      <top/>
      <bottom/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  <top/>
      <bottom/>
    </border>
    <border>
      <top style="thin">
        <color rgb="FF000000"/>
      </top>
    </border>
    <border>
      <bottom style="thin">
        <color rgb="FF000000"/>
      </bottom>
    </border>
    <border>
      <left/>
      <right/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top/>
      <bottom/>
    </border>
    <border>
      <right style="thin">
        <color rgb="FF000000"/>
      </right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2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2" fillId="2" fontId="3" numFmtId="0" xfId="0" applyAlignment="1" applyBorder="1" applyFill="1" applyFont="1">
      <alignment vertical="bottom"/>
    </xf>
    <xf borderId="2" fillId="2" fontId="3" numFmtId="0" xfId="0" applyAlignment="1" applyBorder="1" applyFont="1">
      <alignment horizontal="center" vertical="bottom"/>
    </xf>
    <xf borderId="2" fillId="2" fontId="2" numFmtId="0" xfId="0" applyAlignment="1" applyBorder="1" applyFont="1">
      <alignment vertical="bottom"/>
    </xf>
    <xf borderId="2" fillId="3" fontId="3" numFmtId="0" xfId="0" applyAlignment="1" applyBorder="1" applyFill="1" applyFont="1">
      <alignment horizontal="center" vertical="bottom"/>
    </xf>
    <xf borderId="3" fillId="4" fontId="3" numFmtId="0" xfId="0" applyAlignment="1" applyBorder="1" applyFill="1" applyFont="1">
      <alignment horizontal="center" vertical="bottom"/>
    </xf>
    <xf borderId="4" fillId="5" fontId="3" numFmtId="0" xfId="0" applyAlignment="1" applyBorder="1" applyFill="1" applyFont="1">
      <alignment horizontal="center" vertical="bottom"/>
    </xf>
    <xf borderId="5" fillId="6" fontId="3" numFmtId="0" xfId="0" applyAlignment="1" applyBorder="1" applyFill="1" applyFon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0" fontId="2" numFmtId="165" xfId="0" applyAlignment="1" applyFont="1" applyNumberFormat="1">
      <alignment vertical="bottom"/>
    </xf>
    <xf borderId="6" fillId="7" fontId="4" numFmtId="0" xfId="0" applyAlignment="1" applyBorder="1" applyFill="1" applyFont="1">
      <alignment vertical="bottom"/>
    </xf>
    <xf borderId="6" fillId="7" fontId="4" numFmtId="166" xfId="0" applyAlignment="1" applyBorder="1" applyFont="1" applyNumberFormat="1">
      <alignment horizontal="right" vertical="bottom"/>
    </xf>
    <xf borderId="7" fillId="7" fontId="4" numFmtId="166" xfId="0" applyAlignment="1" applyBorder="1" applyFont="1" applyNumberFormat="1">
      <alignment horizontal="right" vertical="bottom"/>
    </xf>
    <xf borderId="8" fillId="7" fontId="4" numFmtId="166" xfId="0" applyAlignment="1" applyBorder="1" applyFont="1" applyNumberFormat="1">
      <alignment horizontal="right" vertical="bottom"/>
    </xf>
    <xf borderId="9" fillId="7" fontId="4" numFmtId="166" xfId="0" applyAlignment="1" applyBorder="1" applyFont="1" applyNumberFormat="1">
      <alignment horizontal="right" vertical="bottom"/>
    </xf>
    <xf borderId="0" fillId="0" fontId="2" numFmtId="167" xfId="0" applyAlignment="1" applyFont="1" applyNumberFormat="1">
      <alignment horizontal="right" vertical="bottom"/>
    </xf>
    <xf borderId="10" fillId="0" fontId="2" numFmtId="167" xfId="0" applyAlignment="1" applyBorder="1" applyFont="1" applyNumberFormat="1">
      <alignment horizontal="right" vertical="bottom"/>
    </xf>
    <xf borderId="0" fillId="0" fontId="2" numFmtId="164" xfId="0" applyAlignment="1" applyFont="1" applyNumberFormat="1">
      <alignment vertical="bottom"/>
    </xf>
    <xf borderId="10" fillId="0" fontId="2" numFmtId="164" xfId="0" applyAlignment="1" applyBorder="1" applyFont="1" applyNumberFormat="1">
      <alignment vertical="bottom"/>
    </xf>
    <xf borderId="0" fillId="0" fontId="2" numFmtId="164" xfId="0" applyAlignment="1" applyFont="1" applyNumberFormat="1">
      <alignment horizontal="right" vertical="bottom"/>
    </xf>
    <xf borderId="11" fillId="0" fontId="5" numFmtId="0" xfId="0" applyAlignment="1" applyBorder="1" applyFont="1">
      <alignment vertical="bottom"/>
    </xf>
    <xf borderId="11" fillId="0" fontId="5" numFmtId="164" xfId="0" applyAlignment="1" applyBorder="1" applyFont="1" applyNumberFormat="1">
      <alignment horizontal="center" vertical="bottom"/>
    </xf>
    <xf borderId="11" fillId="0" fontId="2" numFmtId="165" xfId="0" applyAlignment="1" applyBorder="1" applyFont="1" applyNumberFormat="1">
      <alignment vertical="bottom"/>
    </xf>
    <xf borderId="0" fillId="0" fontId="2" numFmtId="9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167" xfId="0" applyAlignment="1" applyFont="1" applyNumberFormat="1">
      <alignment horizontal="right" vertical="bottom"/>
    </xf>
    <xf borderId="12" fillId="0" fontId="5" numFmtId="167" xfId="0" applyAlignment="1" applyBorder="1" applyFont="1" applyNumberFormat="1">
      <alignment horizontal="right" vertical="bottom"/>
    </xf>
    <xf borderId="10" fillId="0" fontId="5" numFmtId="167" xfId="0" applyAlignment="1" applyBorder="1" applyFont="1" applyNumberFormat="1">
      <alignment horizontal="right" vertical="bottom"/>
    </xf>
    <xf borderId="0" fillId="0" fontId="2" numFmtId="167" xfId="0" applyAlignment="1" applyFont="1" applyNumberFormat="1">
      <alignment vertical="bottom"/>
    </xf>
    <xf borderId="10" fillId="0" fontId="2" numFmtId="167" xfId="0" applyAlignment="1" applyBorder="1" applyFont="1" applyNumberFormat="1">
      <alignment vertical="bottom"/>
    </xf>
    <xf borderId="11" fillId="0" fontId="5" numFmtId="0" xfId="0" applyAlignment="1" applyBorder="1" applyFont="1">
      <alignment shrinkToFit="0" vertical="bottom" wrapText="1"/>
    </xf>
    <xf borderId="11" fillId="0" fontId="6" numFmtId="164" xfId="0" applyAlignment="1" applyBorder="1" applyFont="1" applyNumberFormat="1">
      <alignment horizontal="right" vertical="bottom"/>
    </xf>
    <xf borderId="11" fillId="0" fontId="5" numFmtId="9" xfId="0" applyAlignment="1" applyBorder="1" applyFont="1" applyNumberFormat="1">
      <alignment horizontal="right" vertical="bottom"/>
    </xf>
    <xf borderId="2" fillId="7" fontId="4" numFmtId="0" xfId="0" applyAlignment="1" applyBorder="1" applyFont="1">
      <alignment vertical="bottom"/>
    </xf>
    <xf borderId="2" fillId="7" fontId="4" numFmtId="165" xfId="0" applyAlignment="1" applyBorder="1" applyFont="1" applyNumberFormat="1">
      <alignment horizontal="right" vertical="bottom"/>
    </xf>
    <xf borderId="3" fillId="7" fontId="4" numFmtId="165" xfId="0" applyAlignment="1" applyBorder="1" applyFont="1" applyNumberFormat="1">
      <alignment horizontal="right" vertical="bottom"/>
    </xf>
    <xf borderId="13" fillId="7" fontId="4" numFmtId="164" xfId="0" applyAlignment="1" applyBorder="1" applyFont="1" applyNumberFormat="1">
      <alignment horizontal="right" vertical="bottom"/>
    </xf>
    <xf borderId="5" fillId="7" fontId="4" numFmtId="165" xfId="0" applyAlignment="1" applyBorder="1" applyFont="1" applyNumberFormat="1">
      <alignment horizontal="right" vertical="bottom"/>
    </xf>
    <xf borderId="14" fillId="0" fontId="5" numFmtId="0" xfId="0" applyAlignment="1" applyBorder="1" applyFont="1">
      <alignment vertical="bottom"/>
    </xf>
    <xf borderId="11" fillId="0" fontId="5" numFmtId="167" xfId="0" applyAlignment="1" applyBorder="1" applyFont="1" applyNumberFormat="1">
      <alignment horizontal="right" vertical="bottom"/>
    </xf>
    <xf borderId="8" fillId="0" fontId="5" numFmtId="167" xfId="0" applyAlignment="1" applyBorder="1" applyFont="1" applyNumberFormat="1">
      <alignment horizontal="right" vertical="bottom"/>
    </xf>
    <xf borderId="2" fillId="2" fontId="3" numFmtId="0" xfId="0" applyAlignment="1" applyBorder="1" applyFont="1">
      <alignment vertical="bottom"/>
    </xf>
    <xf borderId="2" fillId="2" fontId="2" numFmtId="0" xfId="0" applyAlignment="1" applyBorder="1" applyFont="1">
      <alignment vertical="bottom"/>
    </xf>
    <xf borderId="2" fillId="2" fontId="3" numFmtId="10" xfId="0" applyAlignment="1" applyBorder="1" applyFont="1" applyNumberFormat="1">
      <alignment horizontal="center" vertical="bottom"/>
    </xf>
    <xf borderId="0" fillId="0" fontId="2" numFmtId="10" xfId="0" applyAlignment="1" applyFont="1" applyNumberFormat="1">
      <alignment horizontal="center" vertical="bottom"/>
    </xf>
    <xf borderId="12" fillId="0" fontId="2" numFmtId="167" xfId="0" applyAlignment="1" applyBorder="1" applyFont="1" applyNumberFormat="1">
      <alignment vertical="bottom"/>
    </xf>
    <xf borderId="15" fillId="0" fontId="2" numFmtId="0" xfId="0" applyAlignment="1" applyBorder="1" applyFont="1">
      <alignment vertical="bottom"/>
    </xf>
    <xf borderId="15" fillId="0" fontId="2" numFmtId="164" xfId="0" applyAlignment="1" applyBorder="1" applyFont="1" applyNumberFormat="1">
      <alignment vertical="bottom"/>
    </xf>
    <xf borderId="15" fillId="0" fontId="2" numFmtId="10" xfId="0" applyAlignment="1" applyBorder="1" applyFont="1" applyNumberFormat="1">
      <alignment horizontal="center" vertical="bottom"/>
    </xf>
    <xf borderId="0" fillId="0" fontId="2" numFmtId="10" xfId="0" applyAlignment="1" applyFont="1" applyNumberFormat="1">
      <alignment vertical="bottom"/>
    </xf>
    <xf borderId="16" fillId="8" fontId="4" numFmtId="0" xfId="0" applyAlignment="1" applyBorder="1" applyFill="1" applyFont="1">
      <alignment vertical="bottom"/>
    </xf>
    <xf borderId="15" fillId="8" fontId="4" numFmtId="10" xfId="0" applyAlignment="1" applyBorder="1" applyFont="1" applyNumberFormat="1">
      <alignment horizontal="right" vertical="bottom"/>
    </xf>
    <xf borderId="8" fillId="8" fontId="4" numFmtId="10" xfId="0" applyAlignment="1" applyBorder="1" applyFont="1" applyNumberFormat="1">
      <alignment horizontal="right" vertical="bottom"/>
    </xf>
    <xf borderId="9" fillId="8" fontId="4" numFmtId="10" xfId="0" applyAlignment="1" applyBorder="1" applyFont="1" applyNumberFormat="1">
      <alignment horizontal="right" vertical="bottom"/>
    </xf>
    <xf borderId="16" fillId="8" fontId="4" numFmtId="0" xfId="0" applyAlignment="1" applyBorder="1" applyFont="1">
      <alignment vertical="bottom"/>
    </xf>
    <xf borderId="0" fillId="8" fontId="4" numFmtId="10" xfId="0" applyAlignment="1" applyFont="1" applyNumberFormat="1">
      <alignment horizontal="right" vertical="bottom"/>
    </xf>
    <xf borderId="17" fillId="8" fontId="4" numFmtId="10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168" xfId="0" applyAlignment="1" applyFont="1" applyNumberFormat="1">
      <alignment horizontal="right" vertical="bottom"/>
    </xf>
    <xf borderId="0" fillId="0" fontId="5" numFmtId="169" xfId="0" applyAlignment="1" applyFont="1" applyNumberFormat="1">
      <alignment vertical="bottom"/>
    </xf>
    <xf borderId="0" fillId="0" fontId="5" numFmtId="10" xfId="0" applyAlignment="1" applyFont="1" applyNumberFormat="1">
      <alignment horizontal="right" vertical="bottom"/>
    </xf>
    <xf borderId="0" fillId="0" fontId="7" numFmtId="0" xfId="0" applyAlignment="1" applyFont="1">
      <alignment readingOrder="0"/>
    </xf>
    <xf borderId="0" fillId="0" fontId="7" numFmtId="168" xfId="0" applyFont="1" applyNumberFormat="1"/>
    <xf borderId="0" fillId="0" fontId="7" numFmtId="164" xfId="0" applyFont="1" applyNumberFormat="1"/>
    <xf borderId="0" fillId="0" fontId="7" numFmtId="10" xfId="0" applyFont="1" applyNumberFormat="1"/>
    <xf borderId="0" fillId="0" fontId="7" numFmtId="10" xfId="0" applyAlignment="1" applyFont="1" applyNumberFormat="1">
      <alignment readingOrder="0"/>
    </xf>
    <xf borderId="1" fillId="0" fontId="1" numFmtId="0" xfId="0" applyBorder="1" applyFont="1"/>
    <xf borderId="3" fillId="2" fontId="8" numFmtId="0" xfId="0" applyAlignment="1" applyBorder="1" applyFont="1">
      <alignment horizontal="center"/>
    </xf>
    <xf borderId="18" fillId="0" fontId="9" numFmtId="0" xfId="0" applyBorder="1" applyFont="1"/>
    <xf borderId="2" fillId="2" fontId="8" numFmtId="0" xfId="0" applyAlignment="1" applyBorder="1" applyFont="1">
      <alignment horizontal="center"/>
    </xf>
    <xf borderId="3" fillId="2" fontId="8" numFmtId="0" xfId="0" applyAlignment="1" applyBorder="1" applyFont="1">
      <alignment horizontal="center" vertical="bottom"/>
    </xf>
    <xf borderId="2" fillId="2" fontId="8" numFmtId="0" xfId="0" applyAlignment="1" applyBorder="1" applyFont="1">
      <alignment horizontal="center" vertical="bottom"/>
    </xf>
    <xf borderId="2" fillId="2" fontId="8" numFmtId="0" xfId="0" applyAlignment="1" applyBorder="1" applyFont="1">
      <alignment horizontal="center" vertical="bottom"/>
    </xf>
    <xf borderId="19" fillId="0" fontId="10" numFmtId="0" xfId="0" applyBorder="1" applyFont="1"/>
    <xf borderId="20" fillId="9" fontId="11" numFmtId="164" xfId="0" applyAlignment="1" applyBorder="1" applyFill="1" applyFont="1" applyNumberFormat="1">
      <alignment horizontal="right" readingOrder="0"/>
    </xf>
    <xf borderId="0" fillId="0" fontId="10" numFmtId="0" xfId="0" applyFont="1"/>
    <xf borderId="21" fillId="9" fontId="12" numFmtId="164" xfId="0" applyAlignment="1" applyBorder="1" applyFont="1" applyNumberFormat="1">
      <alignment horizontal="right"/>
    </xf>
    <xf borderId="0" fillId="0" fontId="13" numFmtId="10" xfId="0" applyAlignment="1" applyFont="1" applyNumberFormat="1">
      <alignment readingOrder="0"/>
    </xf>
    <xf borderId="0" fillId="0" fontId="13" numFmtId="0" xfId="0" applyFont="1"/>
    <xf borderId="0" fillId="0" fontId="13" numFmtId="165" xfId="0" applyFont="1" applyNumberFormat="1"/>
    <xf borderId="0" fillId="0" fontId="2" numFmtId="165" xfId="0" applyAlignment="1" applyFont="1" applyNumberFormat="1">
      <alignment vertical="bottom"/>
    </xf>
    <xf borderId="15" fillId="0" fontId="2" numFmtId="165" xfId="0" applyAlignment="1" applyBorder="1" applyFont="1" applyNumberFormat="1">
      <alignment horizontal="right" vertical="bottom"/>
    </xf>
    <xf borderId="20" fillId="9" fontId="11" numFmtId="9" xfId="0" applyAlignment="1" applyBorder="1" applyFont="1" applyNumberFormat="1">
      <alignment horizontal="right" readingOrder="0"/>
    </xf>
    <xf borderId="20" fillId="9" fontId="12" numFmtId="164" xfId="0" applyAlignment="1" applyBorder="1" applyFont="1" applyNumberFormat="1">
      <alignment horizontal="right"/>
    </xf>
    <xf borderId="15" fillId="0" fontId="10" numFmtId="0" xfId="0" applyBorder="1" applyFont="1"/>
    <xf borderId="22" fillId="9" fontId="12" numFmtId="164" xfId="0" applyAlignment="1" applyBorder="1" applyFont="1" applyNumberFormat="1">
      <alignment horizontal="right"/>
    </xf>
    <xf borderId="15" fillId="0" fontId="13" numFmtId="10" xfId="0" applyBorder="1" applyFont="1" applyNumberFormat="1"/>
    <xf borderId="15" fillId="0" fontId="13" numFmtId="0" xfId="0" applyBorder="1" applyFont="1"/>
    <xf borderId="15" fillId="0" fontId="13" numFmtId="165" xfId="0" applyBorder="1" applyFont="1" applyNumberFormat="1"/>
    <xf borderId="15" fillId="0" fontId="2" numFmtId="165" xfId="0" applyAlignment="1" applyBorder="1" applyFont="1" applyNumberFormat="1">
      <alignment vertical="bottom"/>
    </xf>
    <xf borderId="0" fillId="0" fontId="2" numFmtId="0" xfId="0" applyFont="1"/>
    <xf borderId="15" fillId="0" fontId="14" numFmtId="0" xfId="0" applyBorder="1" applyFont="1"/>
    <xf borderId="20" fillId="9" fontId="11" numFmtId="9" xfId="0" applyAlignment="1" applyBorder="1" applyFont="1" applyNumberFormat="1">
      <alignment horizontal="right"/>
    </xf>
    <xf borderId="0" fillId="0" fontId="13" numFmtId="164" xfId="0" applyFont="1" applyNumberFormat="1"/>
    <xf borderId="0" fillId="0" fontId="2" numFmtId="165" xfId="0" applyAlignment="1" applyFont="1" applyNumberFormat="1">
      <alignment horizontal="right" vertical="bottom"/>
    </xf>
    <xf borderId="0" fillId="0" fontId="2" numFmtId="10" xfId="0" applyFont="1" applyNumberFormat="1"/>
    <xf borderId="20" fillId="9" fontId="11" numFmtId="10" xfId="0" applyAlignment="1" applyBorder="1" applyFont="1" applyNumberFormat="1">
      <alignment horizontal="right" readingOrder="0"/>
    </xf>
    <xf borderId="0" fillId="0" fontId="10" numFmtId="0" xfId="0" applyAlignment="1" applyFont="1">
      <alignment readingOrder="0"/>
    </xf>
    <xf borderId="0" fillId="0" fontId="15" numFmtId="10" xfId="0" applyFont="1" applyNumberFormat="1"/>
    <xf borderId="0" fillId="0" fontId="7" numFmtId="164" xfId="0" applyAlignment="1" applyFont="1" applyNumberFormat="1">
      <alignment readingOrder="0"/>
    </xf>
    <xf borderId="20" fillId="9" fontId="11" numFmtId="10" xfId="0" applyAlignment="1" applyBorder="1" applyFont="1" applyNumberFormat="1">
      <alignment horizontal="right"/>
    </xf>
    <xf borderId="14" fillId="0" fontId="15" numFmtId="0" xfId="0" applyBorder="1" applyFont="1"/>
    <xf borderId="14" fillId="0" fontId="15" numFmtId="164" xfId="0" applyBorder="1" applyFont="1" applyNumberFormat="1"/>
    <xf borderId="0" fillId="0" fontId="7" numFmtId="0" xfId="0" applyFont="1"/>
    <xf borderId="0" fillId="0" fontId="7" numFmtId="165" xfId="0" applyFont="1" applyNumberFormat="1"/>
    <xf borderId="0" fillId="0" fontId="7" numFmtId="167" xfId="0" applyFont="1" applyNumberFormat="1"/>
    <xf borderId="3" fillId="2" fontId="8" numFmtId="0" xfId="0" applyAlignment="1" applyBorder="1" applyFont="1">
      <alignment horizontal="center" readingOrder="0"/>
    </xf>
    <xf borderId="0" fillId="0" fontId="13" numFmtId="0" xfId="0" applyAlignment="1" applyFont="1">
      <alignment readingOrder="0"/>
    </xf>
    <xf borderId="0" fillId="0" fontId="13" numFmtId="164" xfId="0" applyAlignment="1" applyFont="1" applyNumberFormat="1">
      <alignment readingOrder="0"/>
    </xf>
    <xf borderId="0" fillId="0" fontId="7" numFmtId="164" xfId="0" applyAlignment="1" applyFont="1" applyNumberFormat="1">
      <alignment readingOrder="0"/>
    </xf>
    <xf borderId="0" fillId="0" fontId="16" numFmtId="0" xfId="0" applyAlignment="1" applyFont="1">
      <alignment readingOrder="0" vertical="bottom"/>
    </xf>
    <xf borderId="11" fillId="0" fontId="2" numFmtId="0" xfId="0" applyAlignment="1" applyBorder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10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readingOrder="0" vertical="bottom"/>
    </xf>
    <xf borderId="0" fillId="10" fontId="2" numFmtId="165" xfId="0" applyAlignment="1" applyFill="1" applyFont="1" applyNumberFormat="1">
      <alignment horizontal="right" vertical="bottom"/>
    </xf>
    <xf borderId="0" fillId="0" fontId="2" numFmtId="164" xfId="0" applyAlignment="1" applyFont="1" applyNumberFormat="1">
      <alignment horizontal="right" readingOrder="0" vertical="bottom"/>
    </xf>
    <xf borderId="15" fillId="0" fontId="2" numFmtId="0" xfId="0" applyAlignment="1" applyBorder="1" applyFont="1">
      <alignment readingOrder="0" vertical="bottom"/>
    </xf>
    <xf borderId="15" fillId="0" fontId="2" numFmtId="164" xfId="0" applyAlignment="1" applyBorder="1" applyFont="1" applyNumberFormat="1">
      <alignment horizontal="right" readingOrder="0" vertical="bottom"/>
    </xf>
    <xf borderId="0" fillId="0" fontId="2" numFmtId="164" xfId="0" applyAlignment="1" applyFont="1" applyNumberFormat="1">
      <alignment horizontal="right" vertical="bottom"/>
    </xf>
    <xf borderId="15" fillId="0" fontId="2" numFmtId="10" xfId="0" applyAlignment="1" applyBorder="1" applyFont="1" applyNumberFormat="1">
      <alignment horizontal="right" vertical="bottom"/>
    </xf>
    <xf borderId="15" fillId="0" fontId="2" numFmtId="165" xfId="0" applyAlignment="1" applyBorder="1" applyFont="1" applyNumberFormat="1">
      <alignment horizontal="right" vertical="bottom"/>
    </xf>
    <xf borderId="0" fillId="0" fontId="2" numFmtId="10" xfId="0" applyAlignment="1" applyFont="1" applyNumberFormat="1">
      <alignment horizontal="right" vertical="bottom"/>
    </xf>
    <xf borderId="11" fillId="0" fontId="17" numFmtId="0" xfId="0" applyAlignment="1" applyBorder="1" applyFont="1">
      <alignment readingOrder="0" vertical="bottom"/>
    </xf>
    <xf borderId="0" fillId="11" fontId="2" numFmtId="165" xfId="0" applyAlignment="1" applyFill="1" applyFont="1" applyNumberFormat="1">
      <alignment horizontal="right" readingOrder="0" vertical="bottom"/>
    </xf>
    <xf borderId="0" fillId="0" fontId="2" numFmtId="165" xfId="0" applyAlignment="1" applyFont="1" applyNumberFormat="1">
      <alignment readingOrder="0" vertical="bottom"/>
    </xf>
    <xf borderId="0" fillId="0" fontId="7" numFmtId="164" xfId="0" applyFont="1" applyNumberFormat="1"/>
    <xf borderId="15" fillId="0" fontId="2" numFmtId="165" xfId="0" applyAlignment="1" applyBorder="1" applyFont="1" applyNumberFormat="1">
      <alignment horizontal="right" readingOrder="0" vertical="bottom"/>
    </xf>
    <xf borderId="15" fillId="0" fontId="2" numFmtId="165" xfId="0" applyAlignment="1" applyBorder="1" applyFont="1" applyNumberFormat="1">
      <alignment vertical="bottom"/>
    </xf>
    <xf borderId="0" fillId="0" fontId="18" numFmtId="0" xfId="0" applyAlignment="1" applyFont="1">
      <alignment vertical="bottom"/>
    </xf>
    <xf borderId="15" fillId="0" fontId="2" numFmtId="170" xfId="0" applyAlignment="1" applyBorder="1" applyFont="1" applyNumberFormat="1">
      <alignment readingOrder="0" vertical="bottom"/>
    </xf>
    <xf borderId="0" fillId="10" fontId="2" numFmtId="165" xfId="0" applyAlignment="1" applyFont="1" applyNumberFormat="1">
      <alignment readingOrder="0" vertical="bottom"/>
    </xf>
    <xf borderId="1" fillId="0" fontId="10" numFmtId="0" xfId="0" applyBorder="1" applyFont="1"/>
    <xf borderId="0" fillId="0" fontId="15" numFmtId="0" xfId="0" applyFont="1"/>
    <xf borderId="23" fillId="12" fontId="19" numFmtId="0" xfId="0" applyAlignment="1" applyBorder="1" applyFill="1" applyFont="1">
      <alignment horizontal="center" shrinkToFit="0" wrapText="1"/>
    </xf>
    <xf borderId="21" fillId="12" fontId="19" numFmtId="0" xfId="0" applyAlignment="1" applyBorder="1" applyFont="1">
      <alignment horizontal="center" shrinkToFit="0" wrapText="1"/>
    </xf>
    <xf borderId="21" fillId="12" fontId="19" numFmtId="0" xfId="0" applyAlignment="1" applyBorder="1" applyFont="1">
      <alignment horizontal="center" readingOrder="0" shrinkToFit="0" wrapText="1"/>
    </xf>
    <xf borderId="23" fillId="0" fontId="19" numFmtId="0" xfId="0" applyAlignment="1" applyBorder="1" applyFont="1">
      <alignment shrinkToFit="0" wrapText="1"/>
    </xf>
    <xf borderId="21" fillId="0" fontId="20" numFmtId="165" xfId="0" applyAlignment="1" applyBorder="1" applyFont="1" applyNumberFormat="1">
      <alignment shrinkToFit="0" wrapText="1"/>
    </xf>
    <xf borderId="21" fillId="0" fontId="20" numFmtId="165" xfId="0" applyAlignment="1" applyBorder="1" applyFont="1" applyNumberFormat="1">
      <alignment readingOrder="0" shrinkToFit="0" wrapText="1"/>
    </xf>
    <xf borderId="0" fillId="0" fontId="14" numFmtId="0" xfId="0" applyFont="1"/>
    <xf borderId="23" fillId="13" fontId="19" numFmtId="0" xfId="0" applyAlignment="1" applyBorder="1" applyFill="1" applyFont="1">
      <alignment shrinkToFit="0" wrapText="1"/>
    </xf>
    <xf borderId="21" fillId="13" fontId="19" numFmtId="0" xfId="0" applyAlignment="1" applyBorder="1" applyFont="1">
      <alignment shrinkToFit="0" wrapText="1"/>
    </xf>
    <xf borderId="23" fillId="0" fontId="20" numFmtId="0" xfId="0" applyAlignment="1" applyBorder="1" applyFont="1">
      <alignment horizontal="left" shrinkToFit="0" wrapText="1"/>
    </xf>
    <xf borderId="21" fillId="0" fontId="13" numFmtId="167" xfId="0" applyBorder="1" applyFont="1" applyNumberFormat="1"/>
    <xf borderId="21" fillId="0" fontId="13" numFmtId="167" xfId="0" applyAlignment="1" applyBorder="1" applyFont="1" applyNumberFormat="1">
      <alignment readingOrder="0"/>
    </xf>
    <xf borderId="21" fillId="0" fontId="21" numFmtId="171" xfId="0" applyAlignment="1" applyBorder="1" applyFont="1" applyNumberFormat="1">
      <alignment horizontal="right" shrinkToFit="0" wrapText="1"/>
    </xf>
    <xf borderId="21" fillId="0" fontId="21" numFmtId="171" xfId="0" applyAlignment="1" applyBorder="1" applyFont="1" applyNumberFormat="1">
      <alignment horizontal="right" readingOrder="0" shrinkToFit="0" wrapText="1"/>
    </xf>
    <xf borderId="21" fillId="13" fontId="19" numFmtId="167" xfId="0" applyAlignment="1" applyBorder="1" applyFont="1" applyNumberFormat="1">
      <alignment shrinkToFit="0" wrapText="1"/>
    </xf>
    <xf borderId="23" fillId="0" fontId="22" numFmtId="0" xfId="0" applyAlignment="1" applyBorder="1" applyFont="1">
      <alignment shrinkToFit="0" wrapText="1"/>
    </xf>
    <xf borderId="23" fillId="0" fontId="20" numFmtId="0" xfId="0" applyAlignment="1" applyBorder="1" applyFont="1">
      <alignment shrinkToFit="0" wrapText="1"/>
    </xf>
    <xf borderId="21" fillId="0" fontId="14" numFmtId="0" xfId="0" applyAlignment="1" applyBorder="1" applyFont="1">
      <alignment horizontal="right" shrinkToFit="0" wrapText="1"/>
    </xf>
    <xf borderId="21" fillId="0" fontId="14" numFmtId="171" xfId="0" applyAlignment="1" applyBorder="1" applyFont="1" applyNumberFormat="1">
      <alignment horizontal="right" shrinkToFit="0" wrapText="1"/>
    </xf>
    <xf borderId="0" fillId="0" fontId="23" numFmtId="168" xfId="0" applyAlignment="1" applyFont="1" applyNumberFormat="1">
      <alignment horizontal="right" vertical="bottom"/>
    </xf>
    <xf borderId="21" fillId="0" fontId="13" numFmtId="166" xfId="0" applyBorder="1" applyFont="1" applyNumberFormat="1"/>
    <xf borderId="0" fillId="0" fontId="23" numFmtId="168" xfId="0" applyAlignment="1" applyFont="1" applyNumberFormat="1">
      <alignment vertical="bottom"/>
    </xf>
    <xf borderId="21" fillId="11" fontId="13" numFmtId="167" xfId="0" applyAlignment="1" applyBorder="1" applyFont="1" applyNumberFormat="1">
      <alignment readingOrder="0"/>
    </xf>
    <xf borderId="21" fillId="14" fontId="13" numFmtId="167" xfId="0" applyBorder="1" applyFill="1" applyFont="1" applyNumberFormat="1"/>
    <xf borderId="0" fillId="0" fontId="24" numFmtId="168" xfId="0" applyAlignment="1" applyFont="1" applyNumberFormat="1">
      <alignment horizontal="right" vertical="bottom"/>
    </xf>
    <xf borderId="21" fillId="14" fontId="13" numFmtId="166" xfId="0" applyBorder="1" applyFont="1" applyNumberFormat="1"/>
    <xf borderId="21" fillId="10" fontId="13" numFmtId="167" xfId="0" applyAlignment="1" applyBorder="1" applyFont="1" applyNumberFormat="1">
      <alignment readingOrder="0"/>
    </xf>
    <xf borderId="21" fillId="14" fontId="13" numFmtId="167" xfId="0" applyAlignment="1" applyBorder="1" applyFont="1" applyNumberFormat="1">
      <alignment readingOrder="0"/>
    </xf>
    <xf borderId="21" fillId="11" fontId="13" numFmtId="167" xfId="0" applyBorder="1" applyFont="1" applyNumberFormat="1"/>
    <xf borderId="21" fillId="0" fontId="14" numFmtId="0" xfId="0" applyAlignment="1" applyBorder="1" applyFont="1">
      <alignment shrinkToFit="0" wrapText="1"/>
    </xf>
    <xf borderId="23" fillId="12" fontId="19" numFmtId="0" xfId="0" applyAlignment="1" applyBorder="1" applyFont="1">
      <alignment shrinkToFit="0" wrapText="1"/>
    </xf>
    <xf borderId="21" fillId="12" fontId="15" numFmtId="167" xfId="0" applyBorder="1" applyFont="1" applyNumberFormat="1"/>
    <xf borderId="23" fillId="0" fontId="2" numFmtId="0" xfId="0" applyBorder="1" applyFont="1"/>
    <xf borderId="23" fillId="0" fontId="14" numFmtId="0" xfId="0" applyBorder="1" applyFont="1"/>
    <xf borderId="21" fillId="0" fontId="13" numFmtId="10" xfId="0" applyBorder="1" applyFont="1" applyNumberFormat="1"/>
    <xf borderId="23" fillId="0" fontId="13" numFmtId="0" xfId="0" applyAlignment="1" applyBorder="1" applyFont="1">
      <alignment readingOrder="0"/>
    </xf>
    <xf borderId="23" fillId="0" fontId="13" numFmtId="0" xfId="0" applyBorder="1" applyFont="1"/>
    <xf borderId="24" fillId="0" fontId="13" numFmtId="167" xfId="0" applyBorder="1" applyFont="1" applyNumberFormat="1"/>
    <xf borderId="0" fillId="0" fontId="15" numFmtId="167" xfId="0" applyFont="1" applyNumberFormat="1"/>
    <xf borderId="25" fillId="0" fontId="15" numFmtId="167" xfId="0" applyBorder="1" applyFont="1" applyNumberFormat="1"/>
    <xf borderId="14" fillId="0" fontId="15" numFmtId="167" xfId="0" applyBorder="1" applyFont="1" applyNumberFormat="1"/>
    <xf borderId="26" fillId="0" fontId="15" numFmtId="167" xfId="0" applyBorder="1" applyFont="1" applyNumberFormat="1"/>
    <xf borderId="27" fillId="0" fontId="14" numFmtId="166" xfId="0" applyBorder="1" applyFont="1" applyNumberFormat="1"/>
    <xf borderId="0" fillId="0" fontId="14" numFmtId="166" xfId="0" applyFont="1" applyNumberFormat="1"/>
    <xf borderId="19" fillId="0" fontId="14" numFmtId="166" xfId="0" applyBorder="1" applyFont="1" applyNumberFormat="1"/>
    <xf borderId="0" fillId="0" fontId="7" numFmtId="172" xfId="0" applyAlignment="1" applyFont="1" applyNumberFormat="1">
      <alignment readingOrder="0"/>
    </xf>
    <xf borderId="0" fillId="0" fontId="14" numFmtId="10" xfId="0" applyFont="1" applyNumberFormat="1"/>
    <xf borderId="28" fillId="0" fontId="21" numFmtId="10" xfId="0" applyBorder="1" applyFont="1" applyNumberFormat="1"/>
    <xf borderId="15" fillId="0" fontId="21" numFmtId="10" xfId="0" applyBorder="1" applyFont="1" applyNumberFormat="1"/>
    <xf borderId="29" fillId="0" fontId="21" numFmtId="10" xfId="0" applyBorder="1" applyFont="1" applyNumberFormat="1"/>
    <xf borderId="0" fillId="0" fontId="2" numFmtId="165" xfId="0" applyFont="1" applyNumberFormat="1"/>
    <xf borderId="0" fillId="0" fontId="2" numFmtId="164" xfId="0" applyFont="1" applyNumberFormat="1"/>
    <xf borderId="0" fillId="0" fontId="14" numFmtId="9" xfId="0" applyFont="1" applyNumberFormat="1"/>
    <xf borderId="0" fillId="0" fontId="2" numFmtId="166" xfId="0" applyFont="1" applyNumberFormat="1"/>
    <xf borderId="0" fillId="0" fontId="14" numFmtId="171" xfId="0" applyFont="1" applyNumberFormat="1"/>
    <xf borderId="0" fillId="0" fontId="14" numFmtId="171" xfId="0" applyAlignment="1" applyFont="1" applyNumberFormat="1">
      <alignment horizontal="right" shrinkToFit="0" wrapText="1"/>
    </xf>
    <xf borderId="0" fillId="0" fontId="14" numFmtId="0" xfId="0" applyAlignment="1" applyFont="1">
      <alignment horizontal="right" shrinkToFit="0" wrapText="1"/>
    </xf>
    <xf borderId="0" fillId="0" fontId="14" numFmtId="0" xfId="0" applyAlignment="1" applyFont="1">
      <alignment shrinkToFit="0" wrapText="1"/>
    </xf>
    <xf borderId="0" fillId="0" fontId="2" numFmtId="9" xfId="0" applyFont="1" applyNumberFormat="1"/>
    <xf borderId="0" fillId="0" fontId="13" numFmtId="167" xfId="0" applyFont="1" applyNumberFormat="1"/>
    <xf borderId="0" fillId="0" fontId="14" numFmtId="167" xfId="0" applyFont="1" applyNumberFormat="1"/>
    <xf borderId="0" fillId="0" fontId="7" numFmtId="9" xfId="0" applyAlignment="1" applyFont="1" applyNumberFormat="1">
      <alignment readingOrder="0"/>
    </xf>
    <xf borderId="1" fillId="0" fontId="1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30" fillId="15" fontId="2" numFmtId="0" xfId="0" applyAlignment="1" applyBorder="1" applyFill="1" applyFont="1">
      <alignment vertical="bottom"/>
    </xf>
    <xf borderId="30" fillId="15" fontId="3" numFmtId="0" xfId="0" applyAlignment="1" applyBorder="1" applyFont="1">
      <alignment horizontal="center" vertical="bottom"/>
    </xf>
    <xf borderId="30" fillId="15" fontId="3" numFmtId="0" xfId="0" applyAlignment="1" applyBorder="1" applyFont="1">
      <alignment horizontal="center" vertical="bottom"/>
    </xf>
    <xf borderId="30" fillId="7" fontId="4" numFmtId="167" xfId="0" applyAlignment="1" applyBorder="1" applyFont="1" applyNumberFormat="1">
      <alignment horizontal="right" vertical="bottom"/>
    </xf>
    <xf borderId="6" fillId="7" fontId="4" numFmtId="167" xfId="0" applyAlignment="1" applyBorder="1" applyFont="1" applyNumberFormat="1">
      <alignment horizontal="right" vertical="bottom"/>
    </xf>
    <xf borderId="11" fillId="0" fontId="5" numFmtId="0" xfId="0" applyAlignment="1" applyBorder="1" applyFont="1">
      <alignment vertical="bottom"/>
    </xf>
    <xf borderId="11" fillId="0" fontId="2" numFmtId="167" xfId="0" applyAlignment="1" applyBorder="1" applyFont="1" applyNumberFormat="1">
      <alignment vertical="bottom"/>
    </xf>
    <xf borderId="11" fillId="0" fontId="2" numFmtId="167" xfId="0" applyAlignment="1" applyBorder="1" applyFont="1" applyNumberFormat="1">
      <alignment horizontal="right" vertical="bottom"/>
    </xf>
    <xf borderId="25" fillId="0" fontId="2" numFmtId="167" xfId="0" applyAlignment="1" applyBorder="1" applyFont="1" applyNumberFormat="1">
      <alignment vertical="bottom"/>
    </xf>
    <xf borderId="14" fillId="0" fontId="2" numFmtId="167" xfId="0" applyAlignment="1" applyBorder="1" applyFont="1" applyNumberFormat="1">
      <alignment vertical="bottom"/>
    </xf>
    <xf borderId="26" fillId="0" fontId="2" numFmtId="167" xfId="0" applyAlignment="1" applyBorder="1" applyFont="1" applyNumberFormat="1">
      <alignment vertical="bottom"/>
    </xf>
    <xf borderId="27" fillId="0" fontId="2" numFmtId="0" xfId="0" applyAlignment="1" applyBorder="1" applyFont="1">
      <alignment vertical="bottom"/>
    </xf>
    <xf borderId="19" fillId="0" fontId="2" numFmtId="0" xfId="0" applyAlignment="1" applyBorder="1" applyFont="1">
      <alignment vertical="bottom"/>
    </xf>
    <xf borderId="27" fillId="0" fontId="2" numFmtId="0" xfId="0" applyAlignment="1" applyBorder="1" applyFont="1">
      <alignment vertical="bottom"/>
    </xf>
    <xf borderId="27" fillId="0" fontId="2" numFmtId="164" xfId="0" applyAlignment="1" applyBorder="1" applyFont="1" applyNumberFormat="1">
      <alignment vertical="bottom"/>
    </xf>
    <xf borderId="19" fillId="0" fontId="2" numFmtId="164" xfId="0" applyAlignment="1" applyBorder="1" applyFont="1" applyNumberFormat="1">
      <alignment vertical="bottom"/>
    </xf>
    <xf borderId="28" fillId="0" fontId="2" numFmtId="164" xfId="0" applyAlignment="1" applyBorder="1" applyFont="1" applyNumberFormat="1">
      <alignment vertical="bottom"/>
    </xf>
    <xf borderId="29" fillId="0" fontId="2" numFmtId="164" xfId="0" applyAlignment="1" applyBorder="1" applyFont="1" applyNumberFormat="1">
      <alignment vertical="bottom"/>
    </xf>
    <xf borderId="0" fillId="0" fontId="2" numFmtId="173" xfId="0" applyAlignment="1" applyFont="1" applyNumberFormat="1">
      <alignment vertical="bottom"/>
    </xf>
    <xf borderId="15" fillId="0" fontId="5" numFmtId="0" xfId="0" applyAlignment="1" applyBorder="1" applyFont="1">
      <alignment vertical="bottom"/>
    </xf>
    <xf borderId="15" fillId="0" fontId="5" numFmtId="164" xfId="0" applyAlignment="1" applyBorder="1" applyFont="1" applyNumberFormat="1">
      <alignment horizontal="center" vertical="bottom"/>
    </xf>
    <xf borderId="21" fillId="0" fontId="5" numFmtId="0" xfId="0" applyAlignment="1" applyBorder="1" applyFont="1">
      <alignment vertical="bottom"/>
    </xf>
    <xf borderId="21" fillId="0" fontId="2" numFmtId="0" xfId="0" applyAlignment="1" applyBorder="1" applyFont="1">
      <alignment vertical="bottom"/>
    </xf>
    <xf borderId="21" fillId="0" fontId="2" numFmtId="174" xfId="0" applyAlignment="1" applyBorder="1" applyFont="1" applyNumberFormat="1">
      <alignment horizontal="center" vertical="bottom"/>
    </xf>
    <xf borderId="2" fillId="16" fontId="2" numFmtId="0" xfId="0" applyAlignment="1" applyBorder="1" applyFill="1" applyFont="1">
      <alignment vertical="bottom"/>
    </xf>
    <xf borderId="2" fillId="16" fontId="2" numFmtId="164" xfId="0" applyAlignment="1" applyBorder="1" applyFont="1" applyNumberFormat="1">
      <alignment vertical="bottom"/>
    </xf>
    <xf borderId="2" fillId="16" fontId="14" numFmtId="0" xfId="0" applyBorder="1" applyFont="1"/>
    <xf borderId="30" fillId="16" fontId="2" numFmtId="0" xfId="0" applyAlignment="1" applyBorder="1" applyFont="1">
      <alignment vertical="bottom"/>
    </xf>
    <xf borderId="30" fillId="16" fontId="2" numFmtId="164" xfId="0" applyAlignment="1" applyBorder="1" applyFont="1" applyNumberFormat="1">
      <alignment vertical="bottom"/>
    </xf>
    <xf borderId="15" fillId="0" fontId="2" numFmtId="0" xfId="0" applyAlignment="1" applyBorder="1" applyFont="1">
      <alignment vertical="bottom"/>
    </xf>
    <xf borderId="21" fillId="0" fontId="2" numFmtId="174" xfId="0" applyAlignment="1" applyBorder="1" applyFont="1" applyNumberFormat="1">
      <alignment horizontal="right" vertical="bottom"/>
    </xf>
    <xf borderId="15" fillId="0" fontId="2" numFmtId="164" xfId="0" applyAlignment="1" applyBorder="1" applyFont="1" applyNumberFormat="1">
      <alignment horizontal="right" vertical="bottom"/>
    </xf>
    <xf borderId="0" fillId="0" fontId="25" numFmtId="0" xfId="0" applyFont="1"/>
    <xf borderId="0" fillId="0" fontId="13" numFmtId="169" xfId="0" applyFont="1" applyNumberFormat="1"/>
    <xf borderId="0" fillId="0" fontId="13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zMixWxHXJL3N-3JYx4Qzf67ly8HoY-KI/view?usp=sharing" TargetMode="External"/><Relationship Id="rId2" Type="http://schemas.openxmlformats.org/officeDocument/2006/relationships/hyperlink" Target="https://drive.google.com/drive/folders/1yXe2ORsPuUyJzavjjZsGuwT358FPRLD1?usp=drive_link" TargetMode="External"/><Relationship Id="rId3" Type="http://schemas.openxmlformats.org/officeDocument/2006/relationships/hyperlink" Target="https://qbo.intuit.com/app/journal?txnId=186" TargetMode="External"/><Relationship Id="rId4" Type="http://schemas.openxmlformats.org/officeDocument/2006/relationships/hyperlink" Target="https://qbo.intuit.com/app/journal?txnId=187" TargetMode="External"/><Relationship Id="rId5" Type="http://schemas.openxmlformats.org/officeDocument/2006/relationships/hyperlink" Target="https://qbo.intuit.com/app/journal?txnId=117" TargetMode="External"/><Relationship Id="rId6" Type="http://schemas.openxmlformats.org/officeDocument/2006/relationships/hyperlink" Target="https://qbo.intuit.com/app/bill?txnId=201" TargetMode="Externa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396F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.88"/>
    <col customWidth="1" min="2" max="2" width="25.38"/>
    <col customWidth="1" min="3" max="4" width="12.5"/>
    <col customWidth="1" min="5" max="5" width="1.88"/>
    <col customWidth="1" min="6" max="6" width="35.63"/>
    <col customWidth="1" min="7" max="7" width="15.5"/>
    <col customWidth="1" min="8" max="8" width="15.25"/>
    <col customWidth="1" min="9" max="9" width="14.5"/>
    <col customWidth="1" min="10" max="10" width="15.25"/>
    <col customWidth="1" min="11" max="12" width="12.5"/>
    <col customWidth="1" min="13" max="13" width="42.25"/>
    <col customWidth="1" min="14" max="14" width="13.75"/>
    <col customWidth="1" min="15" max="26" width="12.5"/>
  </cols>
  <sheetData>
    <row r="1" ht="9.75" customHeight="1"/>
    <row r="2" ht="21.0" customHeight="1">
      <c r="B2" s="1" t="s">
        <v>0</v>
      </c>
      <c r="C2" s="2"/>
      <c r="D2" s="2"/>
      <c r="E2" s="3"/>
      <c r="F2" s="1" t="s">
        <v>1</v>
      </c>
      <c r="G2" s="2"/>
      <c r="H2" s="2"/>
      <c r="I2" s="2"/>
      <c r="J2" s="2"/>
    </row>
    <row r="3" ht="15.75" customHeight="1">
      <c r="B3" s="3"/>
      <c r="C3" s="3"/>
      <c r="D3" s="3"/>
      <c r="E3" s="3"/>
      <c r="F3" s="4"/>
      <c r="G3" s="3"/>
      <c r="H3" s="3"/>
      <c r="I3" s="3"/>
      <c r="J3" s="3"/>
    </row>
    <row r="4" ht="15.75" customHeight="1">
      <c r="B4" s="5" t="s">
        <v>2</v>
      </c>
      <c r="C4" s="6" t="s">
        <v>3</v>
      </c>
      <c r="D4" s="7"/>
      <c r="E4" s="3"/>
      <c r="F4" s="6" t="s">
        <v>4</v>
      </c>
      <c r="G4" s="8" t="s">
        <v>5</v>
      </c>
      <c r="H4" s="9" t="s">
        <v>6</v>
      </c>
      <c r="I4" s="10" t="s">
        <v>7</v>
      </c>
      <c r="J4" s="11" t="s">
        <v>8</v>
      </c>
    </row>
    <row r="5" ht="15.75" customHeight="1">
      <c r="B5" s="4" t="s">
        <v>9</v>
      </c>
      <c r="C5" s="12">
        <f>'Sources and Uses'!D5</f>
        <v>2050000</v>
      </c>
      <c r="D5" s="13"/>
      <c r="E5" s="3"/>
      <c r="F5" s="14" t="s">
        <v>10</v>
      </c>
      <c r="G5" s="15">
        <f t="shared" ref="G5:H5" si="1">H5</f>
        <v>960000</v>
      </c>
      <c r="H5" s="16">
        <f t="shared" si="1"/>
        <v>960000</v>
      </c>
      <c r="I5" s="17">
        <f>Proforma!I5</f>
        <v>960000</v>
      </c>
      <c r="J5" s="18">
        <f>I5</f>
        <v>960000</v>
      </c>
    </row>
    <row r="6" ht="15.75" customHeight="1">
      <c r="B6" s="4" t="str">
        <f>'Sources and Uses'!B9</f>
        <v>Total Debt</v>
      </c>
      <c r="C6" s="12">
        <f>'Sources and Uses'!D9</f>
        <v>1640000</v>
      </c>
      <c r="D6" s="13"/>
      <c r="E6" s="3"/>
      <c r="F6" s="4" t="s">
        <v>11</v>
      </c>
      <c r="G6" s="19">
        <f t="shared" ref="G6:H6" si="2">H6*1.05</f>
        <v>-105840</v>
      </c>
      <c r="H6" s="19">
        <f t="shared" si="2"/>
        <v>-100800</v>
      </c>
      <c r="I6" s="20">
        <f>Proforma!I6</f>
        <v>-96000</v>
      </c>
      <c r="J6" s="19">
        <f>-J5*0.1</f>
        <v>-96000</v>
      </c>
    </row>
    <row r="7" ht="15.75" customHeight="1">
      <c r="B7" s="4" t="s">
        <v>12</v>
      </c>
      <c r="C7" s="12">
        <f>'Sources and Uses'!D23</f>
        <v>159900</v>
      </c>
      <c r="D7" s="13"/>
      <c r="E7" s="3"/>
      <c r="F7" s="4" t="s">
        <v>13</v>
      </c>
      <c r="G7" s="21"/>
      <c r="H7" s="21"/>
      <c r="I7" s="22"/>
      <c r="J7" s="21"/>
    </row>
    <row r="8" ht="15.75" customHeight="1">
      <c r="B8" s="4" t="s">
        <v>14</v>
      </c>
      <c r="C8" s="12">
        <f>'Sources and Uses'!G20</f>
        <v>590400</v>
      </c>
      <c r="D8" s="13"/>
      <c r="E8" s="3"/>
      <c r="F8" s="4" t="s">
        <v>15</v>
      </c>
      <c r="G8" s="19">
        <f t="shared" ref="G8:H8" si="3">G7+G6+G5</f>
        <v>854160</v>
      </c>
      <c r="H8" s="19">
        <f t="shared" si="3"/>
        <v>859200</v>
      </c>
      <c r="I8" s="20">
        <f>Proforma!I12</f>
        <v>876500</v>
      </c>
      <c r="J8" s="23">
        <f>J7+J6+J5</f>
        <v>864000</v>
      </c>
    </row>
    <row r="9" ht="15.75" customHeight="1">
      <c r="B9" s="4" t="s">
        <v>16</v>
      </c>
      <c r="C9" s="12">
        <f>'Sources and Uses'!G19</f>
        <v>20500</v>
      </c>
      <c r="D9" s="13"/>
      <c r="E9" s="3"/>
      <c r="F9" s="4" t="s">
        <v>17</v>
      </c>
      <c r="G9" s="19">
        <f t="shared" ref="G9:H9" si="4">H9</f>
        <v>631670</v>
      </c>
      <c r="H9" s="19">
        <f t="shared" si="4"/>
        <v>631670</v>
      </c>
      <c r="I9" s="20">
        <f>Proforma!I46</f>
        <v>631670</v>
      </c>
      <c r="J9" s="23">
        <f>I9*0.9</f>
        <v>568503</v>
      </c>
    </row>
    <row r="10" ht="15.75" customHeight="1">
      <c r="B10" s="24" t="s">
        <v>18</v>
      </c>
      <c r="C10" s="25">
        <f>C5+C7+C9</f>
        <v>2230400</v>
      </c>
      <c r="D10" s="26"/>
      <c r="E10" s="3"/>
      <c r="F10" s="4" t="s">
        <v>19</v>
      </c>
      <c r="G10" s="19">
        <f t="shared" ref="G10:H10" si="5">H10</f>
        <v>35060</v>
      </c>
      <c r="H10" s="19">
        <f t="shared" si="5"/>
        <v>35060</v>
      </c>
      <c r="I10" s="20">
        <f>Proforma!I54</f>
        <v>35060</v>
      </c>
      <c r="J10" s="23">
        <f t="shared" ref="J10:J12" si="7">I10</f>
        <v>35060</v>
      </c>
    </row>
    <row r="11" ht="15.75" customHeight="1">
      <c r="B11" s="3"/>
      <c r="C11" s="3"/>
      <c r="D11" s="3"/>
      <c r="E11" s="3"/>
      <c r="F11" s="4" t="s">
        <v>20</v>
      </c>
      <c r="G11" s="19">
        <f t="shared" ref="G11:H11" si="6">H11</f>
        <v>8765</v>
      </c>
      <c r="H11" s="19">
        <f t="shared" si="6"/>
        <v>8765</v>
      </c>
      <c r="I11" s="20">
        <f>Proforma!I53</f>
        <v>8765</v>
      </c>
      <c r="J11" s="23">
        <f t="shared" si="7"/>
        <v>8765</v>
      </c>
    </row>
    <row r="12" ht="15.75" customHeight="1">
      <c r="B12" s="5" t="s">
        <v>21</v>
      </c>
      <c r="C12" s="6" t="s">
        <v>22</v>
      </c>
      <c r="D12" s="6" t="s">
        <v>23</v>
      </c>
      <c r="E12" s="3"/>
      <c r="F12" s="4" t="s">
        <v>24</v>
      </c>
      <c r="G12" s="19">
        <f t="shared" ref="G12:H12" si="8">H12</f>
        <v>8765</v>
      </c>
      <c r="H12" s="19">
        <f t="shared" si="8"/>
        <v>8765</v>
      </c>
      <c r="I12" s="20">
        <f>Proforma!I51</f>
        <v>8765</v>
      </c>
      <c r="J12" s="23">
        <f t="shared" si="7"/>
        <v>8765</v>
      </c>
    </row>
    <row r="13" ht="15.75" customHeight="1">
      <c r="B13" s="4" t="s">
        <v>25</v>
      </c>
      <c r="C13" s="23">
        <f>C8</f>
        <v>590400</v>
      </c>
      <c r="D13" s="27">
        <f>C13/C15</f>
        <v>0.2647058824</v>
      </c>
      <c r="E13" s="3"/>
      <c r="F13" s="28" t="s">
        <v>26</v>
      </c>
      <c r="G13" s="29">
        <f t="shared" ref="G13:J13" si="9">G8-G9-G10-G11-G12</f>
        <v>169900</v>
      </c>
      <c r="H13" s="30">
        <f t="shared" si="9"/>
        <v>174940</v>
      </c>
      <c r="I13" s="31">
        <f t="shared" si="9"/>
        <v>192240</v>
      </c>
      <c r="J13" s="23">
        <f t="shared" si="9"/>
        <v>242907</v>
      </c>
    </row>
    <row r="14" ht="15.75" customHeight="1">
      <c r="B14" s="4" t="s">
        <v>27</v>
      </c>
      <c r="C14" s="23">
        <f>C6</f>
        <v>1640000</v>
      </c>
      <c r="D14" s="27">
        <f>C14/C15</f>
        <v>0.7352941176</v>
      </c>
      <c r="E14" s="3"/>
      <c r="F14" s="4"/>
      <c r="G14" s="32"/>
      <c r="H14" s="32"/>
      <c r="I14" s="33"/>
      <c r="J14" s="32"/>
    </row>
    <row r="15" ht="15.75" customHeight="1">
      <c r="B15" s="34" t="s">
        <v>28</v>
      </c>
      <c r="C15" s="35">
        <f>C14+C13</f>
        <v>2230400</v>
      </c>
      <c r="D15" s="36">
        <f>SUM(D13:D14)</f>
        <v>1</v>
      </c>
      <c r="E15" s="3"/>
      <c r="F15" s="37" t="s">
        <v>29</v>
      </c>
      <c r="G15" s="38">
        <f>'Sources and Uses'!$J$9</f>
        <v>132796.3813</v>
      </c>
      <c r="H15" s="39">
        <f>'Sources and Uses'!$J$9</f>
        <v>132796.3813</v>
      </c>
      <c r="I15" s="40">
        <f>'Sources and Uses'!$J$9</f>
        <v>132796.3813</v>
      </c>
      <c r="J15" s="41">
        <f>'Sources and Uses'!$J$9</f>
        <v>132796.3813</v>
      </c>
    </row>
    <row r="16" ht="15.75" customHeight="1">
      <c r="B16" s="3"/>
      <c r="C16" s="3"/>
      <c r="D16" s="3"/>
      <c r="E16" s="3"/>
      <c r="F16" s="42" t="s">
        <v>30</v>
      </c>
      <c r="G16" s="43">
        <f t="shared" ref="G16:J16" si="10">G13-G15</f>
        <v>37103.61871</v>
      </c>
      <c r="H16" s="43">
        <f t="shared" si="10"/>
        <v>42143.61871</v>
      </c>
      <c r="I16" s="44">
        <f t="shared" si="10"/>
        <v>59443.61871</v>
      </c>
      <c r="J16" s="43">
        <f t="shared" si="10"/>
        <v>110110.6187</v>
      </c>
    </row>
    <row r="17" ht="15.75" customHeight="1">
      <c r="B17" s="45" t="s">
        <v>21</v>
      </c>
      <c r="C17" s="46"/>
      <c r="D17" s="47" t="s">
        <v>23</v>
      </c>
      <c r="E17" s="3"/>
      <c r="F17" s="28" t="s">
        <v>31</v>
      </c>
      <c r="G17" s="29">
        <f t="shared" ref="G17:H17" si="11">H17</f>
        <v>47232</v>
      </c>
      <c r="H17" s="29">
        <f t="shared" si="11"/>
        <v>47232</v>
      </c>
      <c r="I17" s="31">
        <f>D18*'Sources and Uses'!D13</f>
        <v>47232</v>
      </c>
      <c r="J17" s="29">
        <f>I17</f>
        <v>47232</v>
      </c>
    </row>
    <row r="18" ht="15.75" customHeight="1">
      <c r="B18" s="3" t="s">
        <v>31</v>
      </c>
      <c r="C18" s="21"/>
      <c r="D18" s="48">
        <v>0.08</v>
      </c>
      <c r="E18" s="3"/>
      <c r="F18" s="28" t="s">
        <v>32</v>
      </c>
      <c r="G18" s="32" t="str">
        <f t="shared" ref="G18:J18" si="12">if((G16-G17)&gt;0,G16-G17,"") </f>
        <v/>
      </c>
      <c r="H18" s="49" t="str">
        <f t="shared" si="12"/>
        <v/>
      </c>
      <c r="I18" s="31">
        <f t="shared" si="12"/>
        <v>12211.61871</v>
      </c>
      <c r="J18" s="29">
        <f t="shared" si="12"/>
        <v>62878.61871</v>
      </c>
    </row>
    <row r="19" ht="15.75" customHeight="1">
      <c r="B19" s="50" t="s">
        <v>33</v>
      </c>
      <c r="C19" s="51" t="str">
        <f>C11</f>
        <v/>
      </c>
      <c r="D19" s="52">
        <v>0.5</v>
      </c>
      <c r="E19" s="3"/>
      <c r="F19" s="28" t="s">
        <v>34</v>
      </c>
      <c r="G19" s="29">
        <f t="shared" ref="G19:J19" si="13">G18/2</f>
        <v>0</v>
      </c>
      <c r="H19" s="30">
        <f t="shared" si="13"/>
        <v>0</v>
      </c>
      <c r="I19" s="31">
        <f t="shared" si="13"/>
        <v>6105.809355</v>
      </c>
      <c r="J19" s="29">
        <f t="shared" si="13"/>
        <v>31439.30935</v>
      </c>
    </row>
    <row r="20" ht="15.75" customHeight="1">
      <c r="B20" s="3"/>
      <c r="C20" s="3"/>
      <c r="D20" s="3"/>
      <c r="E20" s="3"/>
      <c r="F20" s="4" t="s">
        <v>35</v>
      </c>
      <c r="G20" s="29">
        <f t="shared" ref="G20:J20" si="14">G19</f>
        <v>0</v>
      </c>
      <c r="H20" s="30">
        <f t="shared" si="14"/>
        <v>0</v>
      </c>
      <c r="I20" s="31">
        <f t="shared" si="14"/>
        <v>6105.809355</v>
      </c>
      <c r="J20" s="29">
        <f t="shared" si="14"/>
        <v>31439.30935</v>
      </c>
    </row>
    <row r="21" ht="15.75" customHeight="1">
      <c r="B21" s="3"/>
      <c r="C21" s="4"/>
      <c r="D21" s="3"/>
      <c r="E21" s="3"/>
      <c r="F21" s="28" t="s">
        <v>36</v>
      </c>
      <c r="G21" s="29">
        <f t="shared" ref="G21:J21" si="15">if((G16-G17)&gt;0,G19+G17,G16)</f>
        <v>37103.61871</v>
      </c>
      <c r="H21" s="30">
        <f t="shared" si="15"/>
        <v>42143.61871</v>
      </c>
      <c r="I21" s="31">
        <f t="shared" si="15"/>
        <v>53337.80935</v>
      </c>
      <c r="J21" s="29">
        <f t="shared" si="15"/>
        <v>78671.30935</v>
      </c>
    </row>
    <row r="22" ht="15.75" customHeight="1">
      <c r="B22" s="3"/>
      <c r="C22" s="53"/>
      <c r="D22" s="53"/>
      <c r="E22" s="3"/>
      <c r="F22" s="54" t="s">
        <v>37</v>
      </c>
      <c r="G22" s="55">
        <f>G21/'Sources and Uses'!$D$13</f>
        <v>0.06284488264</v>
      </c>
      <c r="H22" s="55">
        <f>H21/'Sources and Uses'!$D$13</f>
        <v>0.071381468</v>
      </c>
      <c r="I22" s="56">
        <f>I21/'Sources and Uses'!$D$13</f>
        <v>0.09034181801</v>
      </c>
      <c r="J22" s="57">
        <f>J21/'Sources and Uses'!$D$13</f>
        <v>0.1332508627</v>
      </c>
    </row>
    <row r="23" ht="15.75" customHeight="1">
      <c r="B23" s="3"/>
      <c r="C23" s="53"/>
      <c r="D23" s="53"/>
      <c r="E23" s="3"/>
      <c r="F23" s="58" t="s">
        <v>38</v>
      </c>
      <c r="G23" s="55">
        <f t="shared" ref="G23:H23" si="16">H23</f>
        <v>0.04576937575</v>
      </c>
      <c r="H23" s="55">
        <f t="shared" si="16"/>
        <v>0.04576937575</v>
      </c>
      <c r="I23" s="56">
        <f>-'Sources and Uses'!M8/'Sources and Uses'!D13</f>
        <v>0.04576937575</v>
      </c>
      <c r="J23" s="59">
        <f>I23</f>
        <v>0.04576937575</v>
      </c>
    </row>
    <row r="24" ht="15.75" customHeight="1">
      <c r="B24" s="3"/>
      <c r="C24" s="53"/>
      <c r="D24" s="53"/>
      <c r="E24" s="3"/>
      <c r="F24" s="58" t="s">
        <v>39</v>
      </c>
      <c r="G24" s="55">
        <f t="shared" ref="G24:J24" si="17">G23+G22</f>
        <v>0.1086142584</v>
      </c>
      <c r="H24" s="55">
        <f t="shared" si="17"/>
        <v>0.1171508438</v>
      </c>
      <c r="I24" s="60">
        <f t="shared" si="17"/>
        <v>0.1361111938</v>
      </c>
      <c r="J24" s="57">
        <f t="shared" si="17"/>
        <v>0.1790202385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</sheetData>
  <printOptions/>
  <pageMargins bottom="0.0" footer="0.0" header="0.0" left="0.0" right="0.0" top="0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396F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.88"/>
    <col customWidth="1" min="2" max="2" width="25.38"/>
    <col customWidth="1" min="3" max="4" width="12.5"/>
    <col customWidth="1" min="5" max="5" width="1.88"/>
    <col customWidth="1" min="6" max="6" width="35.63"/>
    <col customWidth="1" min="7" max="7" width="15.5"/>
    <col customWidth="1" min="8" max="8" width="15.25"/>
    <col customWidth="1" min="9" max="9" width="14.5"/>
    <col customWidth="1" min="10" max="10" width="15.25"/>
    <col customWidth="1" min="11" max="12" width="12.5"/>
    <col customWidth="1" min="13" max="13" width="42.25"/>
    <col customWidth="1" min="14" max="14" width="13.75"/>
    <col customWidth="1" min="15" max="26" width="12.5"/>
  </cols>
  <sheetData>
    <row r="1" ht="9.75" customHeight="1"/>
    <row r="2" ht="21.0" customHeight="1">
      <c r="B2" s="1" t="s">
        <v>0</v>
      </c>
      <c r="C2" s="2"/>
      <c r="D2" s="2"/>
      <c r="E2" s="3"/>
      <c r="F2" s="1" t="s">
        <v>1</v>
      </c>
      <c r="G2" s="2"/>
      <c r="H2" s="2"/>
      <c r="I2" s="2"/>
      <c r="J2" s="2"/>
    </row>
    <row r="3" ht="15.75" customHeight="1">
      <c r="B3" s="3"/>
      <c r="C3" s="3"/>
      <c r="D3" s="3"/>
      <c r="E3" s="3"/>
      <c r="F3" s="4"/>
      <c r="G3" s="3"/>
      <c r="H3" s="3"/>
      <c r="I3" s="3"/>
      <c r="J3" s="3"/>
    </row>
    <row r="4" ht="15.75" customHeight="1">
      <c r="B4" s="5" t="s">
        <v>2</v>
      </c>
      <c r="C4" s="6" t="s">
        <v>3</v>
      </c>
      <c r="D4" s="7"/>
      <c r="E4" s="3"/>
      <c r="F4" s="6" t="s">
        <v>4</v>
      </c>
      <c r="G4" s="8" t="s">
        <v>5</v>
      </c>
      <c r="H4" s="9" t="s">
        <v>6</v>
      </c>
      <c r="I4" s="10" t="s">
        <v>7</v>
      </c>
      <c r="J4" s="11" t="s">
        <v>8</v>
      </c>
    </row>
    <row r="5" ht="15.75" customHeight="1">
      <c r="B5" s="4" t="s">
        <v>9</v>
      </c>
      <c r="C5" s="12">
        <f>'Sources and Uses'!D5</f>
        <v>2050000</v>
      </c>
      <c r="D5" s="13"/>
      <c r="E5" s="3"/>
      <c r="F5" s="14" t="s">
        <v>10</v>
      </c>
      <c r="G5" s="15">
        <f t="shared" ref="G5:H5" si="1">H5</f>
        <v>960000</v>
      </c>
      <c r="H5" s="16">
        <f t="shared" si="1"/>
        <v>960000</v>
      </c>
      <c r="I5" s="17">
        <f>Proforma!I5</f>
        <v>960000</v>
      </c>
      <c r="J5" s="18">
        <f>I5</f>
        <v>960000</v>
      </c>
    </row>
    <row r="6" ht="15.75" customHeight="1">
      <c r="B6" s="4" t="str">
        <f>'Sources and Uses'!B9</f>
        <v>Total Debt</v>
      </c>
      <c r="C6" s="12">
        <f>'Sources and Uses'!D9</f>
        <v>1640000</v>
      </c>
      <c r="D6" s="13"/>
      <c r="E6" s="3"/>
      <c r="F6" s="4" t="s">
        <v>11</v>
      </c>
      <c r="G6" s="19">
        <f t="shared" ref="G6:H6" si="2">H6*1.05</f>
        <v>-105840</v>
      </c>
      <c r="H6" s="19">
        <f t="shared" si="2"/>
        <v>-100800</v>
      </c>
      <c r="I6" s="20">
        <f>Proforma!I6</f>
        <v>-96000</v>
      </c>
      <c r="J6" s="19">
        <f>-J5*0.1</f>
        <v>-96000</v>
      </c>
    </row>
    <row r="7" ht="15.75" customHeight="1">
      <c r="B7" s="4" t="s">
        <v>12</v>
      </c>
      <c r="C7" s="12">
        <f>'Sources and Uses'!D23</f>
        <v>159900</v>
      </c>
      <c r="D7" s="13"/>
      <c r="E7" s="3"/>
      <c r="F7" s="4" t="s">
        <v>13</v>
      </c>
      <c r="G7" s="21"/>
      <c r="H7" s="21"/>
      <c r="I7" s="22"/>
      <c r="J7" s="21"/>
    </row>
    <row r="8" ht="15.75" customHeight="1">
      <c r="B8" s="4" t="s">
        <v>14</v>
      </c>
      <c r="C8" s="12">
        <f>'Sources and Uses'!G20</f>
        <v>590400</v>
      </c>
      <c r="D8" s="13"/>
      <c r="E8" s="3"/>
      <c r="F8" s="4" t="s">
        <v>15</v>
      </c>
      <c r="G8" s="19">
        <f t="shared" ref="G8:H8" si="3">G7+G6+G5</f>
        <v>854160</v>
      </c>
      <c r="H8" s="19">
        <f t="shared" si="3"/>
        <v>859200</v>
      </c>
      <c r="I8" s="20">
        <f>Proforma!I12</f>
        <v>876500</v>
      </c>
      <c r="J8" s="23">
        <f>J7+J6+J5</f>
        <v>864000</v>
      </c>
    </row>
    <row r="9" ht="15.75" customHeight="1">
      <c r="B9" s="4" t="s">
        <v>16</v>
      </c>
      <c r="C9" s="12">
        <f>'Sources and Uses'!G19</f>
        <v>20500</v>
      </c>
      <c r="D9" s="13"/>
      <c r="E9" s="3"/>
      <c r="F9" s="4" t="s">
        <v>17</v>
      </c>
      <c r="G9" s="19">
        <f t="shared" ref="G9:H9" si="4">H9</f>
        <v>631670</v>
      </c>
      <c r="H9" s="19">
        <f t="shared" si="4"/>
        <v>631670</v>
      </c>
      <c r="I9" s="20">
        <f>Proforma!I46</f>
        <v>631670</v>
      </c>
      <c r="J9" s="23">
        <f>I9*0.9</f>
        <v>568503</v>
      </c>
    </row>
    <row r="10" ht="15.75" customHeight="1">
      <c r="B10" s="24" t="s">
        <v>18</v>
      </c>
      <c r="C10" s="25">
        <f>C5+C7+C9</f>
        <v>2230400</v>
      </c>
      <c r="D10" s="26"/>
      <c r="E10" s="3"/>
      <c r="F10" s="4" t="s">
        <v>19</v>
      </c>
      <c r="G10" s="19">
        <f t="shared" ref="G10:H10" si="5">H10</f>
        <v>35060</v>
      </c>
      <c r="H10" s="19">
        <f t="shared" si="5"/>
        <v>35060</v>
      </c>
      <c r="I10" s="20">
        <f>Proforma!I54</f>
        <v>35060</v>
      </c>
      <c r="J10" s="23">
        <f t="shared" ref="J10:J12" si="7">I10</f>
        <v>35060</v>
      </c>
    </row>
    <row r="11" ht="15.75" customHeight="1">
      <c r="B11" s="3"/>
      <c r="C11" s="3"/>
      <c r="D11" s="3"/>
      <c r="E11" s="3"/>
      <c r="F11" s="4" t="s">
        <v>20</v>
      </c>
      <c r="G11" s="19">
        <f t="shared" ref="G11:H11" si="6">H11</f>
        <v>8765</v>
      </c>
      <c r="H11" s="19">
        <f t="shared" si="6"/>
        <v>8765</v>
      </c>
      <c r="I11" s="20">
        <f>Proforma!I53</f>
        <v>8765</v>
      </c>
      <c r="J11" s="23">
        <f t="shared" si="7"/>
        <v>8765</v>
      </c>
    </row>
    <row r="12" ht="15.75" customHeight="1">
      <c r="B12" s="5" t="s">
        <v>21</v>
      </c>
      <c r="C12" s="6" t="s">
        <v>22</v>
      </c>
      <c r="D12" s="6" t="s">
        <v>23</v>
      </c>
      <c r="E12" s="3"/>
      <c r="F12" s="4" t="s">
        <v>24</v>
      </c>
      <c r="G12" s="19">
        <f t="shared" ref="G12:H12" si="8">H12</f>
        <v>8765</v>
      </c>
      <c r="H12" s="19">
        <f t="shared" si="8"/>
        <v>8765</v>
      </c>
      <c r="I12" s="20">
        <f>Proforma!I51</f>
        <v>8765</v>
      </c>
      <c r="J12" s="23">
        <f t="shared" si="7"/>
        <v>8765</v>
      </c>
    </row>
    <row r="13" ht="15.75" customHeight="1">
      <c r="B13" s="4" t="s">
        <v>25</v>
      </c>
      <c r="C13" s="23">
        <f>C8</f>
        <v>590400</v>
      </c>
      <c r="D13" s="27">
        <f>C13/C15</f>
        <v>0.2647058824</v>
      </c>
      <c r="E13" s="3"/>
      <c r="F13" s="28" t="s">
        <v>26</v>
      </c>
      <c r="G13" s="29">
        <f t="shared" ref="G13:J13" si="9">G8-G9-G10-G11-G12</f>
        <v>169900</v>
      </c>
      <c r="H13" s="30">
        <f t="shared" si="9"/>
        <v>174940</v>
      </c>
      <c r="I13" s="31">
        <f t="shared" si="9"/>
        <v>192240</v>
      </c>
      <c r="J13" s="23">
        <f t="shared" si="9"/>
        <v>242907</v>
      </c>
    </row>
    <row r="14" ht="15.75" customHeight="1">
      <c r="B14" s="4" t="s">
        <v>27</v>
      </c>
      <c r="C14" s="23">
        <f>C6</f>
        <v>1640000</v>
      </c>
      <c r="D14" s="27">
        <f>C14/C15</f>
        <v>0.7352941176</v>
      </c>
      <c r="E14" s="3"/>
      <c r="F14" s="4"/>
      <c r="G14" s="32"/>
      <c r="H14" s="32"/>
      <c r="I14" s="33"/>
      <c r="J14" s="32"/>
    </row>
    <row r="15" ht="15.75" customHeight="1">
      <c r="B15" s="34" t="s">
        <v>28</v>
      </c>
      <c r="C15" s="35">
        <f>C14+C13</f>
        <v>2230400</v>
      </c>
      <c r="D15" s="36">
        <f>SUM(D13:D14)</f>
        <v>1</v>
      </c>
      <c r="E15" s="3"/>
      <c r="F15" s="37" t="s">
        <v>29</v>
      </c>
      <c r="G15" s="38">
        <f>'Sources and Uses'!$J$9</f>
        <v>132796.3813</v>
      </c>
      <c r="H15" s="39">
        <f>'Sources and Uses'!$J$9</f>
        <v>132796.3813</v>
      </c>
      <c r="I15" s="40">
        <f>'Sources and Uses'!$J$9</f>
        <v>132796.3813</v>
      </c>
      <c r="J15" s="41">
        <f>'Sources and Uses'!$J$9</f>
        <v>132796.3813</v>
      </c>
    </row>
    <row r="16" ht="15.75" customHeight="1">
      <c r="B16" s="3"/>
      <c r="C16" s="3"/>
      <c r="D16" s="3"/>
      <c r="E16" s="3"/>
      <c r="F16" s="42" t="s">
        <v>30</v>
      </c>
      <c r="G16" s="43">
        <f t="shared" ref="G16:J16" si="10">G13-G15</f>
        <v>37103.61871</v>
      </c>
      <c r="H16" s="43">
        <f t="shared" si="10"/>
        <v>42143.61871</v>
      </c>
      <c r="I16" s="44">
        <f t="shared" si="10"/>
        <v>59443.61871</v>
      </c>
      <c r="J16" s="43">
        <f t="shared" si="10"/>
        <v>110110.6187</v>
      </c>
    </row>
    <row r="17" ht="15.75" customHeight="1">
      <c r="B17" s="45" t="s">
        <v>21</v>
      </c>
      <c r="C17" s="46"/>
      <c r="D17" s="47" t="s">
        <v>23</v>
      </c>
      <c r="E17" s="3"/>
      <c r="F17" s="28" t="s">
        <v>31</v>
      </c>
      <c r="G17" s="29">
        <f t="shared" ref="G17:H17" si="11">H17</f>
        <v>47232</v>
      </c>
      <c r="H17" s="29">
        <f t="shared" si="11"/>
        <v>47232</v>
      </c>
      <c r="I17" s="31">
        <f>D18*'Sources and Uses'!D13</f>
        <v>47232</v>
      </c>
      <c r="J17" s="29">
        <f>I17</f>
        <v>47232</v>
      </c>
    </row>
    <row r="18" ht="15.75" customHeight="1">
      <c r="B18" s="3" t="s">
        <v>31</v>
      </c>
      <c r="C18" s="21"/>
      <c r="D18" s="48">
        <v>0.08</v>
      </c>
      <c r="E18" s="3"/>
      <c r="F18" s="28" t="s">
        <v>32</v>
      </c>
      <c r="G18" s="32" t="str">
        <f t="shared" ref="G18:J18" si="12">if((G16-G17)&gt;0,G16-G17,"") </f>
        <v/>
      </c>
      <c r="H18" s="49" t="str">
        <f t="shared" si="12"/>
        <v/>
      </c>
      <c r="I18" s="31">
        <f t="shared" si="12"/>
        <v>12211.61871</v>
      </c>
      <c r="J18" s="29">
        <f t="shared" si="12"/>
        <v>62878.61871</v>
      </c>
    </row>
    <row r="19" ht="15.75" customHeight="1">
      <c r="B19" s="50" t="s">
        <v>33</v>
      </c>
      <c r="C19" s="51" t="str">
        <f>C11</f>
        <v/>
      </c>
      <c r="D19" s="52">
        <v>0.5</v>
      </c>
      <c r="E19" s="3"/>
      <c r="F19" s="28" t="s">
        <v>34</v>
      </c>
      <c r="G19" s="29">
        <f t="shared" ref="G19:J19" si="13">G18/2</f>
        <v>0</v>
      </c>
      <c r="H19" s="30">
        <f t="shared" si="13"/>
        <v>0</v>
      </c>
      <c r="I19" s="31">
        <f t="shared" si="13"/>
        <v>6105.809355</v>
      </c>
      <c r="J19" s="29">
        <f t="shared" si="13"/>
        <v>31439.30935</v>
      </c>
    </row>
    <row r="20" ht="15.75" customHeight="1">
      <c r="B20" s="3"/>
      <c r="C20" s="3"/>
      <c r="D20" s="3"/>
      <c r="E20" s="3"/>
      <c r="F20" s="4" t="s">
        <v>35</v>
      </c>
      <c r="G20" s="29">
        <f t="shared" ref="G20:J20" si="14">G19</f>
        <v>0</v>
      </c>
      <c r="H20" s="30">
        <f t="shared" si="14"/>
        <v>0</v>
      </c>
      <c r="I20" s="31">
        <f t="shared" si="14"/>
        <v>6105.809355</v>
      </c>
      <c r="J20" s="29">
        <f t="shared" si="14"/>
        <v>31439.30935</v>
      </c>
    </row>
    <row r="21" ht="15.75" customHeight="1">
      <c r="B21" s="3"/>
      <c r="C21" s="4"/>
      <c r="D21" s="3"/>
      <c r="E21" s="3"/>
      <c r="F21" s="28" t="s">
        <v>36</v>
      </c>
      <c r="G21" s="29">
        <f t="shared" ref="G21:J21" si="15">if((G16-G17)&gt;0,G19+G17,G16)</f>
        <v>37103.61871</v>
      </c>
      <c r="H21" s="30">
        <f t="shared" si="15"/>
        <v>42143.61871</v>
      </c>
      <c r="I21" s="31">
        <f t="shared" si="15"/>
        <v>53337.80935</v>
      </c>
      <c r="J21" s="29">
        <f t="shared" si="15"/>
        <v>78671.30935</v>
      </c>
    </row>
    <row r="22" ht="15.75" customHeight="1">
      <c r="B22" s="3"/>
      <c r="C22" s="53"/>
      <c r="D22" s="53"/>
      <c r="E22" s="3"/>
      <c r="F22" s="54" t="s">
        <v>37</v>
      </c>
      <c r="G22" s="55">
        <f>G21/'Sources and Uses'!$D$13</f>
        <v>0.06284488264</v>
      </c>
      <c r="H22" s="55">
        <f>H21/'Sources and Uses'!$D$13</f>
        <v>0.071381468</v>
      </c>
      <c r="I22" s="56">
        <f>I21/'Sources and Uses'!$D$13</f>
        <v>0.09034181801</v>
      </c>
      <c r="J22" s="57">
        <f>J21/'Sources and Uses'!$D$13</f>
        <v>0.1332508627</v>
      </c>
    </row>
    <row r="23" ht="15.75" customHeight="1">
      <c r="B23" s="3"/>
      <c r="C23" s="53"/>
      <c r="D23" s="53"/>
      <c r="E23" s="3"/>
      <c r="F23" s="58" t="s">
        <v>38</v>
      </c>
      <c r="G23" s="55">
        <f t="shared" ref="G23:H23" si="16">H23</f>
        <v>0.04576937575</v>
      </c>
      <c r="H23" s="55">
        <f t="shared" si="16"/>
        <v>0.04576937575</v>
      </c>
      <c r="I23" s="56">
        <f>-'Sources and Uses'!M8/'Sources and Uses'!D13</f>
        <v>0.04576937575</v>
      </c>
      <c r="J23" s="59">
        <f>I23</f>
        <v>0.04576937575</v>
      </c>
    </row>
    <row r="24" ht="15.75" customHeight="1">
      <c r="B24" s="3"/>
      <c r="C24" s="53"/>
      <c r="D24" s="53"/>
      <c r="E24" s="3"/>
      <c r="F24" s="58" t="s">
        <v>39</v>
      </c>
      <c r="G24" s="55">
        <f t="shared" ref="G24:J24" si="17">G23+G22</f>
        <v>0.1086142584</v>
      </c>
      <c r="H24" s="55">
        <f t="shared" si="17"/>
        <v>0.1171508438</v>
      </c>
      <c r="I24" s="60">
        <f t="shared" si="17"/>
        <v>0.1361111938</v>
      </c>
      <c r="J24" s="57">
        <f t="shared" si="17"/>
        <v>0.1790202385</v>
      </c>
    </row>
    <row r="25" ht="15.75" customHeight="1"/>
    <row r="26" ht="15.75" customHeight="1"/>
    <row r="27" ht="15.75" customHeight="1">
      <c r="F27" s="61" t="s">
        <v>40</v>
      </c>
      <c r="G27" s="62">
        <f>Proforma!M47/0.08</f>
        <v>3559068.273</v>
      </c>
    </row>
    <row r="28" ht="15.75" customHeight="1">
      <c r="F28" s="61" t="s">
        <v>41</v>
      </c>
      <c r="G28" s="62">
        <f>G27*0.06</f>
        <v>213544.0964</v>
      </c>
    </row>
    <row r="29" ht="15.75" customHeight="1">
      <c r="F29" s="61" t="s">
        <v>42</v>
      </c>
      <c r="G29" s="62">
        <f>Proforma!M58</f>
        <v>1485501.917</v>
      </c>
    </row>
    <row r="30" ht="15.75" customHeight="1">
      <c r="F30" s="61" t="s">
        <v>43</v>
      </c>
      <c r="G30" s="62">
        <f>G27-G28-G29</f>
        <v>1860022.259</v>
      </c>
    </row>
    <row r="31" ht="15.75" customHeight="1">
      <c r="F31" s="63" t="s">
        <v>44</v>
      </c>
      <c r="G31" s="62">
        <f>G30-C13</f>
        <v>1269622.259</v>
      </c>
    </row>
    <row r="32" ht="15.75" customHeight="1">
      <c r="F32" s="63" t="s">
        <v>45</v>
      </c>
      <c r="G32" s="62">
        <f>G31/2</f>
        <v>634811.1297</v>
      </c>
    </row>
    <row r="33" ht="15.75" customHeight="1">
      <c r="F33" s="63" t="s">
        <v>46</v>
      </c>
      <c r="G33" s="62">
        <f>G32+SUM(Proforma!I64:M64)+-SUM('Sources and Uses'!M8:Q8)</f>
        <v>1096829.287</v>
      </c>
    </row>
    <row r="34" ht="15.75" customHeight="1">
      <c r="F34" s="63" t="s">
        <v>47</v>
      </c>
      <c r="G34" s="64">
        <f>G33/C13</f>
        <v>1.857773183</v>
      </c>
    </row>
    <row r="35" ht="15.75" customHeight="1">
      <c r="F35" s="63" t="s">
        <v>48</v>
      </c>
      <c r="G35" s="64">
        <f>G34/5</f>
        <v>0.3715546367</v>
      </c>
    </row>
    <row r="36" ht="15.75" customHeight="1"/>
    <row r="37" ht="15.75" customHeight="1"/>
    <row r="38" ht="15.75" customHeight="1"/>
    <row r="39" ht="15.75" customHeight="1"/>
    <row r="40" ht="15.75" customHeight="1">
      <c r="F40" s="65" t="s">
        <v>49</v>
      </c>
      <c r="G40" s="66">
        <f>G33+1531732.18+1554475.18</f>
        <v>4183036.647</v>
      </c>
    </row>
    <row r="41" ht="15.75" customHeight="1">
      <c r="F41" s="65" t="s">
        <v>14</v>
      </c>
      <c r="G41" s="67">
        <f>C13+626250+1084000</f>
        <v>2300650</v>
      </c>
    </row>
    <row r="42" ht="15.75" customHeight="1">
      <c r="F42" s="65" t="s">
        <v>49</v>
      </c>
      <c r="G42" s="68">
        <f>G40/G41</f>
        <v>1.818197747</v>
      </c>
    </row>
    <row r="43" ht="15.75" customHeight="1">
      <c r="F43" s="65" t="s">
        <v>48</v>
      </c>
      <c r="G43" s="68">
        <f>G42/5</f>
        <v>0.3636395495</v>
      </c>
    </row>
    <row r="44" ht="15.75" customHeight="1"/>
    <row r="45" ht="15.75" customHeight="1"/>
    <row r="46" ht="15.75" customHeight="1"/>
    <row r="47" ht="15.75" customHeight="1">
      <c r="F47" s="65" t="s">
        <v>50</v>
      </c>
      <c r="G47" s="68">
        <f>(I21+88373+88685)/(C13+626250+1084000)</f>
        <v>0.1001437895</v>
      </c>
    </row>
    <row r="48" ht="15.75" customHeight="1">
      <c r="F48" s="65" t="s">
        <v>51</v>
      </c>
      <c r="G48" s="68">
        <f>(Proforma!J64+94347.71+71627.4)/G41</f>
        <v>0.09697253792</v>
      </c>
    </row>
    <row r="49" ht="15.75" customHeight="1">
      <c r="F49" s="65" t="s">
        <v>52</v>
      </c>
      <c r="G49" s="69">
        <f>(100667.86+75900.72+Proforma!K64)/G41</f>
        <v>0.1033427066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</sheetData>
  <printOptions/>
  <pageMargins bottom="0.0" footer="0.0" header="0.0" left="0.0" right="0.0" top="0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396F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.88"/>
    <col customWidth="1" min="2" max="2" width="33.13"/>
    <col customWidth="1" min="3" max="3" width="8.88"/>
    <col customWidth="1" min="4" max="4" width="12.5"/>
    <col customWidth="1" min="5" max="5" width="2.88"/>
    <col customWidth="1" min="6" max="6" width="36.13"/>
    <col customWidth="1" min="7" max="8" width="12.5"/>
    <col customWidth="1" min="9" max="9" width="20.25"/>
    <col customWidth="1" min="10" max="10" width="14.5"/>
    <col customWidth="1" min="11" max="11" width="4.63"/>
    <col customWidth="1" min="12" max="12" width="19.38"/>
    <col customWidth="1" min="13" max="18" width="12.5"/>
  </cols>
  <sheetData>
    <row r="1" ht="15.75" customHeight="1"/>
    <row r="2" ht="15.75" customHeight="1">
      <c r="B2" s="70" t="s">
        <v>53</v>
      </c>
      <c r="C2" s="70"/>
      <c r="D2" s="70"/>
      <c r="E2" s="70"/>
      <c r="F2" s="70"/>
      <c r="G2" s="70"/>
    </row>
    <row r="3" ht="15.75" customHeight="1"/>
    <row r="4" ht="15.75" customHeight="1">
      <c r="B4" s="71" t="s">
        <v>54</v>
      </c>
      <c r="C4" s="72"/>
      <c r="D4" s="72"/>
      <c r="F4" s="73" t="s">
        <v>55</v>
      </c>
      <c r="G4" s="73" t="s">
        <v>56</v>
      </c>
      <c r="H4" s="73" t="s">
        <v>57</v>
      </c>
      <c r="I4" s="73" t="s">
        <v>58</v>
      </c>
      <c r="J4" s="73" t="s">
        <v>59</v>
      </c>
      <c r="K4" s="4"/>
      <c r="L4" s="74" t="s">
        <v>60</v>
      </c>
      <c r="M4" s="75" t="s">
        <v>61</v>
      </c>
      <c r="N4" s="75" t="s">
        <v>62</v>
      </c>
      <c r="O4" s="75" t="s">
        <v>63</v>
      </c>
      <c r="P4" s="75" t="s">
        <v>64</v>
      </c>
      <c r="Q4" s="76" t="s">
        <v>65</v>
      </c>
    </row>
    <row r="5" ht="15.75" customHeight="1">
      <c r="B5" s="77" t="s">
        <v>66</v>
      </c>
      <c r="C5" s="77"/>
      <c r="D5" s="78">
        <f>2550000-G10</f>
        <v>2050000</v>
      </c>
      <c r="F5" s="79" t="s">
        <v>67</v>
      </c>
      <c r="G5" s="80">
        <f t="shared" ref="G5:G7" si="1">D6</f>
        <v>1025000</v>
      </c>
      <c r="H5" s="81">
        <v>0.06375</v>
      </c>
      <c r="I5" s="82">
        <v>25.0</v>
      </c>
      <c r="J5" s="83">
        <f>PMT(H5/12,I5*12,-G5,0,0)</f>
        <v>6841.026756</v>
      </c>
      <c r="K5" s="84"/>
      <c r="L5" s="13"/>
      <c r="M5" s="85">
        <f t="shared" ref="M5:M7" si="2">iferror(CUMPRINC(H5/12,I5*12,G5,1,12,0),"")</f>
        <v>-17246.71382</v>
      </c>
      <c r="N5" s="85">
        <f t="shared" ref="N5:N7" si="3">iferror(CUMPRINC(H5/12,I5*12,G5,13,24,0),"")</f>
        <v>-18378.89294</v>
      </c>
      <c r="O5" s="85">
        <f t="shared" ref="O5:O7" si="4">iferror(CUMPRINC(H5/12,I5*12,G5,25,36,0),"")</f>
        <v>-19585.39519</v>
      </c>
      <c r="P5" s="85">
        <f t="shared" ref="P5:P7" si="5">iferror(CUMPRINC(H5/12,I5*12,G5,37,48,0),"")</f>
        <v>-20871.09957</v>
      </c>
      <c r="Q5" s="85">
        <f t="shared" ref="Q5:Q7" si="6">iferror(CUMPRINC(H5/12,I5*12,G5,49,60,0),"")</f>
        <v>-22241.2054</v>
      </c>
    </row>
    <row r="6" ht="15.75" customHeight="1">
      <c r="B6" s="77" t="s">
        <v>68</v>
      </c>
      <c r="C6" s="86">
        <v>0.5</v>
      </c>
      <c r="D6" s="87">
        <f>C6*D5</f>
        <v>1025000</v>
      </c>
      <c r="F6" s="88" t="s">
        <v>69</v>
      </c>
      <c r="G6" s="89">
        <f t="shared" si="1"/>
        <v>615000</v>
      </c>
      <c r="H6" s="90">
        <v>0.0675</v>
      </c>
      <c r="I6" s="91">
        <v>25.0</v>
      </c>
      <c r="J6" s="92">
        <f t="shared" ref="J6:J7" si="7">PMT(H6/12,I6*12,-G6,0,1)</f>
        <v>4225.338352</v>
      </c>
      <c r="K6" s="84"/>
      <c r="L6" s="13"/>
      <c r="M6" s="93">
        <f t="shared" si="2"/>
        <v>-9775.525622</v>
      </c>
      <c r="N6" s="93">
        <f t="shared" si="3"/>
        <v>-10456.1753</v>
      </c>
      <c r="O6" s="93">
        <f t="shared" si="4"/>
        <v>-11184.21721</v>
      </c>
      <c r="P6" s="93">
        <f t="shared" si="5"/>
        <v>-11962.95118</v>
      </c>
      <c r="Q6" s="93">
        <f t="shared" si="6"/>
        <v>-12795.90678</v>
      </c>
    </row>
    <row r="7" ht="15.75" customHeight="1">
      <c r="B7" s="77" t="s">
        <v>70</v>
      </c>
      <c r="C7" s="86">
        <v>0.3</v>
      </c>
      <c r="D7" s="87">
        <f>C7*D5</f>
        <v>615000</v>
      </c>
      <c r="F7" s="94" t="s">
        <v>71</v>
      </c>
      <c r="G7" s="89">
        <f t="shared" si="1"/>
        <v>0</v>
      </c>
      <c r="H7" s="90">
        <v>0.05</v>
      </c>
      <c r="I7" s="95">
        <v>25.0</v>
      </c>
      <c r="J7" s="92">
        <f t="shared" si="7"/>
        <v>0</v>
      </c>
      <c r="K7" s="13"/>
      <c r="L7" s="13"/>
      <c r="M7" s="13" t="str">
        <f t="shared" si="2"/>
        <v/>
      </c>
      <c r="N7" s="13" t="str">
        <f t="shared" si="3"/>
        <v/>
      </c>
      <c r="O7" s="13" t="str">
        <f t="shared" si="4"/>
        <v/>
      </c>
      <c r="P7" s="13" t="str">
        <f t="shared" si="5"/>
        <v/>
      </c>
      <c r="Q7" s="13" t="str">
        <f t="shared" si="6"/>
        <v/>
      </c>
    </row>
    <row r="8" ht="15.75" customHeight="1">
      <c r="B8" s="77" t="s">
        <v>72</v>
      </c>
      <c r="C8" s="96">
        <v>0.0</v>
      </c>
      <c r="D8" s="87">
        <f>C8*D5</f>
        <v>0</v>
      </c>
      <c r="F8" s="79" t="s">
        <v>21</v>
      </c>
      <c r="G8" s="97">
        <f>G6+G5+G7</f>
        <v>1640000</v>
      </c>
      <c r="I8" s="82" t="s">
        <v>73</v>
      </c>
      <c r="J8" s="83">
        <f>J6+J5+J7</f>
        <v>11066.36511</v>
      </c>
      <c r="K8" s="4"/>
      <c r="L8" s="93" t="s">
        <v>74</v>
      </c>
      <c r="M8" s="85">
        <f t="shared" ref="M8:Q8" si="8">sum(M5:M7)</f>
        <v>-27022.23944</v>
      </c>
      <c r="N8" s="85">
        <f t="shared" si="8"/>
        <v>-28835.06824</v>
      </c>
      <c r="O8" s="85">
        <f t="shared" si="8"/>
        <v>-30769.6124</v>
      </c>
      <c r="P8" s="85">
        <f t="shared" si="8"/>
        <v>-32834.05075</v>
      </c>
      <c r="Q8" s="85">
        <f t="shared" si="8"/>
        <v>-35037.11219</v>
      </c>
    </row>
    <row r="9" ht="15.75" customHeight="1">
      <c r="B9" s="77" t="s">
        <v>75</v>
      </c>
      <c r="C9" s="77"/>
      <c r="D9" s="87">
        <f>D8+D7+D6</f>
        <v>1640000</v>
      </c>
      <c r="I9" s="82" t="s">
        <v>76</v>
      </c>
      <c r="J9" s="83">
        <f>J8*12</f>
        <v>132796.3813</v>
      </c>
      <c r="K9" s="4"/>
      <c r="L9" s="21" t="s">
        <v>77</v>
      </c>
      <c r="M9" s="23">
        <f>G8+M8</f>
        <v>1612977.761</v>
      </c>
      <c r="N9" s="98">
        <f t="shared" ref="N9:Q9" si="9">N8+M9</f>
        <v>1584142.692</v>
      </c>
      <c r="O9" s="98">
        <f t="shared" si="9"/>
        <v>1553373.08</v>
      </c>
      <c r="P9" s="98">
        <f t="shared" si="9"/>
        <v>1520539.029</v>
      </c>
      <c r="Q9" s="98">
        <f t="shared" si="9"/>
        <v>1485501.917</v>
      </c>
    </row>
    <row r="10" ht="15.75" customHeight="1">
      <c r="B10" s="77" t="s">
        <v>78</v>
      </c>
      <c r="C10" s="77"/>
      <c r="D10" s="87">
        <f>D5-D6-D7-D8</f>
        <v>410000</v>
      </c>
      <c r="F10" s="65" t="s">
        <v>79</v>
      </c>
      <c r="G10" s="78">
        <v>500000.0</v>
      </c>
      <c r="K10" s="94"/>
      <c r="L10" s="99"/>
    </row>
    <row r="11" ht="15.75" customHeight="1">
      <c r="B11" s="77" t="s">
        <v>16</v>
      </c>
      <c r="C11" s="100">
        <v>0.01</v>
      </c>
      <c r="D11" s="87">
        <f>D5*C11</f>
        <v>20500</v>
      </c>
      <c r="F11" s="101" t="s">
        <v>80</v>
      </c>
      <c r="G11" s="102">
        <f>Proforma!I56</f>
        <v>0.100683636</v>
      </c>
      <c r="I11" s="82"/>
      <c r="J11" s="83"/>
      <c r="L11" s="99"/>
    </row>
    <row r="12" ht="15.75" customHeight="1">
      <c r="B12" s="77" t="s">
        <v>81</v>
      </c>
      <c r="C12" s="77"/>
      <c r="D12" s="87">
        <f>D23</f>
        <v>159900</v>
      </c>
      <c r="F12" s="79"/>
      <c r="G12" s="97"/>
      <c r="I12" s="82"/>
      <c r="J12" s="83"/>
    </row>
    <row r="13" ht="15.75" customHeight="1">
      <c r="B13" s="77" t="s">
        <v>14</v>
      </c>
      <c r="C13" s="77"/>
      <c r="D13" s="87">
        <f>D12+D11+D10</f>
        <v>590400</v>
      </c>
      <c r="F13" s="79"/>
      <c r="G13" s="97"/>
      <c r="I13" s="82"/>
      <c r="J13" s="83"/>
    </row>
    <row r="14" ht="15.75" customHeight="1">
      <c r="B14" s="77" t="s">
        <v>82</v>
      </c>
      <c r="C14" s="77"/>
      <c r="D14" s="87">
        <f>D13+D9</f>
        <v>2230400</v>
      </c>
    </row>
    <row r="15" ht="15.75" customHeight="1">
      <c r="I15" s="65" t="s">
        <v>83</v>
      </c>
      <c r="J15" s="65">
        <v>0.0637</v>
      </c>
    </row>
    <row r="16" ht="15.75" customHeight="1">
      <c r="B16" s="71" t="s">
        <v>81</v>
      </c>
      <c r="C16" s="72"/>
      <c r="D16" s="72"/>
      <c r="F16" s="71" t="s">
        <v>53</v>
      </c>
      <c r="G16" s="72"/>
      <c r="I16" s="65" t="s">
        <v>84</v>
      </c>
      <c r="J16" s="103">
        <v>2069280.0</v>
      </c>
    </row>
    <row r="17" ht="15.75" customHeight="1">
      <c r="B17" s="82" t="s">
        <v>85</v>
      </c>
      <c r="C17" s="100">
        <v>0.025</v>
      </c>
      <c r="D17" s="97">
        <f>C17*D9</f>
        <v>41000</v>
      </c>
      <c r="F17" s="82" t="s">
        <v>86</v>
      </c>
      <c r="G17" s="97">
        <f>D10</f>
        <v>410000</v>
      </c>
      <c r="I17" s="65" t="s">
        <v>9</v>
      </c>
      <c r="J17" s="103">
        <v>2550000.0</v>
      </c>
    </row>
    <row r="18" ht="15.75" customHeight="1">
      <c r="B18" s="82" t="s">
        <v>87</v>
      </c>
      <c r="C18" s="104">
        <v>0.01</v>
      </c>
      <c r="D18" s="97">
        <f>C18*D9</f>
        <v>16400</v>
      </c>
      <c r="F18" s="82" t="s">
        <v>81</v>
      </c>
      <c r="G18" s="97">
        <f>D23</f>
        <v>159900</v>
      </c>
      <c r="I18" s="65" t="s">
        <v>88</v>
      </c>
      <c r="J18" s="103">
        <v>6467.0</v>
      </c>
    </row>
    <row r="19" ht="15.75" customHeight="1">
      <c r="B19" s="82" t="s">
        <v>89</v>
      </c>
      <c r="C19" s="104">
        <v>0.03</v>
      </c>
      <c r="D19" s="97">
        <f>C19*D5</f>
        <v>61500</v>
      </c>
      <c r="F19" s="82" t="s">
        <v>16</v>
      </c>
      <c r="G19" s="97">
        <f>D11</f>
        <v>20500</v>
      </c>
    </row>
    <row r="20" ht="15.75" customHeight="1">
      <c r="B20" s="82" t="s">
        <v>90</v>
      </c>
      <c r="C20" s="104">
        <v>0.01</v>
      </c>
      <c r="D20" s="97">
        <f>C20*D5</f>
        <v>20500</v>
      </c>
      <c r="F20" s="105" t="s">
        <v>91</v>
      </c>
      <c r="G20" s="106">
        <f>SUM(G17:G19)</f>
        <v>590400</v>
      </c>
      <c r="I20" s="107">
        <f>D19/G20</f>
        <v>0.1041666667</v>
      </c>
      <c r="J20" s="107">
        <f>I20/2</f>
        <v>0.05208333333</v>
      </c>
    </row>
    <row r="21" ht="15.75" customHeight="1">
      <c r="B21" s="82" t="s">
        <v>92</v>
      </c>
      <c r="C21" s="104">
        <v>0.01</v>
      </c>
      <c r="D21" s="97">
        <f>C21*D5</f>
        <v>20500</v>
      </c>
      <c r="G21" s="97"/>
    </row>
    <row r="22" ht="1.5" customHeight="1">
      <c r="B22" s="82"/>
      <c r="C22" s="82"/>
      <c r="D22" s="97"/>
      <c r="G22" s="97"/>
    </row>
    <row r="23" ht="15.75" customHeight="1">
      <c r="B23" s="105" t="s">
        <v>91</v>
      </c>
      <c r="C23" s="105"/>
      <c r="D23" s="106">
        <f>SUM(D17:D22)</f>
        <v>159900</v>
      </c>
      <c r="F23" s="65" t="s">
        <v>93</v>
      </c>
      <c r="G23" s="108">
        <f>G20*0.865</f>
        <v>510696</v>
      </c>
    </row>
    <row r="24" ht="15.75" customHeight="1">
      <c r="F24" s="65" t="s">
        <v>94</v>
      </c>
      <c r="G24" s="107">
        <f>0.0675*G20</f>
        <v>39852</v>
      </c>
    </row>
    <row r="25" ht="15.75" customHeight="1">
      <c r="F25" s="65" t="s">
        <v>95</v>
      </c>
      <c r="G25" s="107">
        <f>0.0675*G20</f>
        <v>39852</v>
      </c>
      <c r="N25" s="109">
        <f>Proforma!I12</f>
        <v>876500</v>
      </c>
    </row>
    <row r="26" ht="15.75" customHeight="1">
      <c r="G26" s="108">
        <f>G25+G24+G23</f>
        <v>590400</v>
      </c>
    </row>
    <row r="27" ht="15.75" customHeight="1"/>
    <row r="28" ht="15.75" customHeight="1">
      <c r="F28" s="110" t="s">
        <v>96</v>
      </c>
      <c r="G28" s="72"/>
    </row>
    <row r="29" ht="15.75" customHeight="1">
      <c r="F29" s="111" t="s">
        <v>97</v>
      </c>
      <c r="G29" s="97">
        <f>G10</f>
        <v>500000</v>
      </c>
    </row>
    <row r="30" ht="15.75" customHeight="1">
      <c r="F30" s="111" t="s">
        <v>98</v>
      </c>
      <c r="G30" s="112">
        <v>2500000.0</v>
      </c>
      <c r="H30" s="107">
        <f>G30/G33</f>
        <v>275.4517409</v>
      </c>
    </row>
    <row r="31" ht="15.75" customHeight="1">
      <c r="F31" s="111" t="s">
        <v>99</v>
      </c>
      <c r="G31" s="97">
        <f>(G30+G29)*0.1</f>
        <v>300000</v>
      </c>
    </row>
    <row r="32" ht="15.75" customHeight="1">
      <c r="B32" s="65">
        <v>292602.49</v>
      </c>
      <c r="F32" s="105" t="s">
        <v>91</v>
      </c>
      <c r="G32" s="106">
        <f>SUM(G29:G31)</f>
        <v>3300000</v>
      </c>
      <c r="I32" s="107">
        <f>G32*0.75</f>
        <v>2475000</v>
      </c>
    </row>
    <row r="33" ht="15.75" customHeight="1">
      <c r="B33" s="65">
        <v>104000.0</v>
      </c>
      <c r="F33" s="65" t="s">
        <v>100</v>
      </c>
      <c r="G33" s="65">
        <v>9076.0</v>
      </c>
    </row>
    <row r="34" ht="15.75" customHeight="1">
      <c r="B34" s="65">
        <v>104000.0</v>
      </c>
      <c r="F34" s="65" t="s">
        <v>101</v>
      </c>
      <c r="G34" s="112">
        <v>300000.0</v>
      </c>
    </row>
    <row r="35" ht="15.75" customHeight="1">
      <c r="B35" s="107">
        <f>sum(B32:B34)</f>
        <v>500602.49</v>
      </c>
      <c r="F35" s="65" t="s">
        <v>102</v>
      </c>
      <c r="G35" s="69">
        <v>0.08</v>
      </c>
    </row>
    <row r="36" ht="15.75" customHeight="1">
      <c r="F36" s="65" t="s">
        <v>103</v>
      </c>
      <c r="G36" s="112">
        <f>G34/G35</f>
        <v>3750000</v>
      </c>
    </row>
    <row r="37" ht="15.75" customHeight="1">
      <c r="F37" s="65" t="s">
        <v>44</v>
      </c>
      <c r="G37" s="67">
        <f>G36-G32</f>
        <v>450000</v>
      </c>
    </row>
    <row r="38" ht="15.75" customHeight="1">
      <c r="F38" s="65" t="s">
        <v>25</v>
      </c>
      <c r="G38" s="112">
        <f>G36*0.15</f>
        <v>562500</v>
      </c>
    </row>
    <row r="39" ht="15.75" customHeight="1"/>
    <row r="40" ht="15.75" customHeight="1"/>
    <row r="41" ht="15.75" customHeight="1">
      <c r="L41" s="65" t="s">
        <v>104</v>
      </c>
    </row>
    <row r="42" ht="15.75" customHeight="1">
      <c r="L42" s="65" t="s">
        <v>105</v>
      </c>
      <c r="M42" s="67">
        <f>D5</f>
        <v>2050000</v>
      </c>
    </row>
    <row r="43" ht="15.75" customHeight="1">
      <c r="L43" s="65" t="s">
        <v>106</v>
      </c>
      <c r="M43" s="67">
        <f>G10</f>
        <v>500000</v>
      </c>
    </row>
    <row r="44" ht="15.75" customHeight="1">
      <c r="L44" s="65" t="s">
        <v>96</v>
      </c>
      <c r="M44" s="67">
        <f>G32</f>
        <v>3300000</v>
      </c>
    </row>
    <row r="45" ht="15.75" customHeight="1">
      <c r="L45" s="65" t="s">
        <v>21</v>
      </c>
      <c r="M45" s="67">
        <f>M44+M43+M42</f>
        <v>5850000</v>
      </c>
    </row>
    <row r="46" ht="15.75" customHeight="1"/>
    <row r="47" ht="15.75" customHeight="1">
      <c r="L47" s="65" t="s">
        <v>107</v>
      </c>
      <c r="M47" s="113">
        <v>600000.0</v>
      </c>
    </row>
    <row r="48" ht="15.75" customHeight="1">
      <c r="L48" s="65" t="s">
        <v>102</v>
      </c>
      <c r="M48" s="69">
        <v>0.08</v>
      </c>
    </row>
    <row r="49" ht="15.75" customHeight="1">
      <c r="B49" s="3"/>
      <c r="C49" s="3"/>
      <c r="D49" s="3"/>
      <c r="E49" s="3"/>
      <c r="F49" s="3"/>
      <c r="G49" s="114" t="s">
        <v>108</v>
      </c>
      <c r="H49" s="114" t="s">
        <v>109</v>
      </c>
      <c r="I49" s="3"/>
      <c r="J49" s="3" t="s">
        <v>110</v>
      </c>
      <c r="L49" s="65" t="s">
        <v>111</v>
      </c>
      <c r="M49" s="67">
        <f>M47/M48</f>
        <v>7500000</v>
      </c>
    </row>
    <row r="50" ht="15.75" customHeight="1">
      <c r="B50" s="114" t="s">
        <v>112</v>
      </c>
      <c r="C50" s="3"/>
      <c r="D50" s="3"/>
      <c r="E50" s="3"/>
      <c r="F50" s="50" t="s">
        <v>113</v>
      </c>
      <c r="G50" s="50" t="s">
        <v>113</v>
      </c>
      <c r="H50" s="50" t="s">
        <v>25</v>
      </c>
      <c r="I50" s="50" t="s">
        <v>114</v>
      </c>
      <c r="J50" s="50" t="s">
        <v>115</v>
      </c>
      <c r="L50" s="65" t="s">
        <v>116</v>
      </c>
      <c r="M50" s="67">
        <f>M49-M45</f>
        <v>1650000</v>
      </c>
      <c r="N50" s="107">
        <f>M50/G20</f>
        <v>2.794715447</v>
      </c>
    </row>
    <row r="51" ht="15.75" customHeight="1">
      <c r="B51" s="115" t="s">
        <v>117</v>
      </c>
      <c r="C51" s="115" t="s">
        <v>118</v>
      </c>
      <c r="D51" s="115" t="s">
        <v>119</v>
      </c>
      <c r="E51" s="3"/>
      <c r="F51" s="116" t="s">
        <v>120</v>
      </c>
      <c r="G51" s="117">
        <v>0.865</v>
      </c>
      <c r="H51" s="118">
        <f t="shared" ref="H51:H54" si="10">G51*$G$20</f>
        <v>510696</v>
      </c>
      <c r="I51" s="119">
        <v>524572.79</v>
      </c>
      <c r="J51" s="120">
        <f>H51-I51</f>
        <v>-13876.79</v>
      </c>
    </row>
    <row r="52" ht="15.75" customHeight="1">
      <c r="B52" s="116" t="s">
        <v>121</v>
      </c>
      <c r="C52" s="121">
        <v>76500.0</v>
      </c>
      <c r="D52" s="3"/>
      <c r="E52" s="3"/>
      <c r="F52" s="3" t="s">
        <v>122</v>
      </c>
      <c r="G52" s="117">
        <v>0.0675</v>
      </c>
      <c r="H52" s="118">
        <f t="shared" si="10"/>
        <v>39852</v>
      </c>
      <c r="I52" s="116" t="s">
        <v>123</v>
      </c>
      <c r="J52" s="3"/>
    </row>
    <row r="53" ht="15.75" customHeight="1">
      <c r="B53" s="122" t="s">
        <v>124</v>
      </c>
      <c r="C53" s="50"/>
      <c r="D53" s="123">
        <v>76500.0</v>
      </c>
      <c r="E53" s="3"/>
      <c r="F53" s="3" t="s">
        <v>125</v>
      </c>
      <c r="G53" s="117">
        <v>0.0675</v>
      </c>
      <c r="H53" s="118">
        <f t="shared" si="10"/>
        <v>39852</v>
      </c>
      <c r="I53" s="3"/>
      <c r="J53" s="3"/>
    </row>
    <row r="54" ht="15.75" customHeight="1">
      <c r="B54" s="3" t="s">
        <v>21</v>
      </c>
      <c r="C54" s="23">
        <f t="shared" ref="C54:D54" si="11">C53+C52</f>
        <v>76500</v>
      </c>
      <c r="D54" s="124">
        <f t="shared" si="11"/>
        <v>76500</v>
      </c>
      <c r="E54" s="3"/>
      <c r="F54" s="50"/>
      <c r="G54" s="125"/>
      <c r="H54" s="126">
        <f t="shared" si="10"/>
        <v>0</v>
      </c>
      <c r="I54" s="3"/>
      <c r="J54" s="3"/>
    </row>
    <row r="55" ht="15.75" customHeight="1">
      <c r="B55" s="3"/>
      <c r="C55" s="3"/>
      <c r="D55" s="3"/>
      <c r="E55" s="3"/>
      <c r="F55" s="3" t="s">
        <v>21</v>
      </c>
      <c r="G55" s="127">
        <f t="shared" ref="G55:H55" si="12">sum(G51:G54)</f>
        <v>1</v>
      </c>
      <c r="H55" s="118">
        <f t="shared" si="12"/>
        <v>590400</v>
      </c>
      <c r="I55" s="3"/>
      <c r="J55" s="3"/>
    </row>
    <row r="56" ht="15.75" customHeight="1">
      <c r="B56" s="128" t="s">
        <v>126</v>
      </c>
      <c r="C56" s="115"/>
      <c r="D56" s="115"/>
      <c r="E56" s="3"/>
      <c r="F56" s="3"/>
      <c r="G56" s="3"/>
      <c r="H56" s="3"/>
      <c r="I56" s="3"/>
      <c r="J56" s="3"/>
    </row>
    <row r="57" ht="15.75" customHeight="1">
      <c r="B57" s="3" t="s">
        <v>117</v>
      </c>
      <c r="C57" s="3" t="s">
        <v>118</v>
      </c>
      <c r="D57" s="3" t="s">
        <v>119</v>
      </c>
      <c r="E57" s="3"/>
      <c r="F57" s="3"/>
      <c r="G57" s="3"/>
      <c r="H57" s="3"/>
      <c r="I57" s="3"/>
      <c r="J57" s="3"/>
    </row>
    <row r="58" ht="15.75" customHeight="1">
      <c r="B58" s="3" t="s">
        <v>127</v>
      </c>
      <c r="C58" s="129">
        <f>2550000-C59-C60</f>
        <v>1650000</v>
      </c>
      <c r="D58" s="84"/>
      <c r="E58" s="3"/>
      <c r="F58" s="3"/>
      <c r="G58" s="3"/>
      <c r="H58" s="3"/>
      <c r="I58" s="3"/>
      <c r="J58" s="3"/>
      <c r="L58" s="65" t="s">
        <v>14</v>
      </c>
      <c r="M58" s="67">
        <f>G20</f>
        <v>590400</v>
      </c>
    </row>
    <row r="59" ht="15.75" customHeight="1">
      <c r="B59" s="116" t="s">
        <v>128</v>
      </c>
      <c r="C59" s="130">
        <v>400000.0</v>
      </c>
      <c r="D59" s="119"/>
      <c r="E59" s="3"/>
      <c r="F59" s="3"/>
      <c r="G59" s="3"/>
      <c r="H59" s="3"/>
      <c r="I59" s="3"/>
      <c r="J59" s="3"/>
      <c r="L59" s="65"/>
      <c r="M59" s="69"/>
    </row>
    <row r="60" ht="15.75" customHeight="1">
      <c r="B60" s="116" t="s">
        <v>106</v>
      </c>
      <c r="C60" s="130">
        <v>500000.0</v>
      </c>
      <c r="D60" s="119"/>
      <c r="E60" s="3"/>
      <c r="F60" s="3"/>
      <c r="G60" s="3"/>
      <c r="H60" s="3"/>
      <c r="I60" s="3"/>
      <c r="J60" s="3"/>
      <c r="L60" s="65"/>
      <c r="M60" s="69"/>
    </row>
    <row r="61" ht="15.75" customHeight="1">
      <c r="B61" s="3" t="s">
        <v>129</v>
      </c>
      <c r="C61" s="84"/>
      <c r="D61" s="119">
        <v>2069280.0</v>
      </c>
      <c r="E61" s="3"/>
      <c r="F61" s="3"/>
      <c r="G61" s="3"/>
      <c r="H61" s="3"/>
      <c r="I61" s="3"/>
      <c r="J61" s="3"/>
      <c r="L61" s="65" t="s">
        <v>130</v>
      </c>
      <c r="M61" s="69">
        <v>0.855</v>
      </c>
    </row>
    <row r="62" ht="15.75" customHeight="1">
      <c r="B62" s="3" t="s">
        <v>124</v>
      </c>
      <c r="C62" s="84"/>
      <c r="D62" s="119">
        <v>292602.49</v>
      </c>
      <c r="E62" s="3"/>
      <c r="F62" s="3"/>
      <c r="G62" s="3"/>
      <c r="H62" s="3"/>
      <c r="I62" s="3"/>
      <c r="J62" s="3"/>
      <c r="L62" s="65" t="s">
        <v>131</v>
      </c>
      <c r="M62" s="131">
        <f>M61*M58</f>
        <v>504792</v>
      </c>
    </row>
    <row r="63" ht="15.75" customHeight="1">
      <c r="B63" s="3" t="s">
        <v>132</v>
      </c>
      <c r="C63" s="84"/>
      <c r="D63" s="119">
        <v>104000.0</v>
      </c>
      <c r="E63" s="3"/>
      <c r="F63" s="3"/>
      <c r="G63" s="3"/>
      <c r="H63" s="3"/>
      <c r="I63" s="3"/>
      <c r="J63" s="3"/>
    </row>
    <row r="64" ht="15.75" customHeight="1">
      <c r="B64" s="3" t="s">
        <v>133</v>
      </c>
      <c r="C64" s="84"/>
      <c r="D64" s="119">
        <v>104000.0</v>
      </c>
      <c r="E64" s="3"/>
      <c r="F64" s="3"/>
      <c r="G64" s="3"/>
      <c r="H64" s="3"/>
      <c r="I64" s="3"/>
      <c r="J64" s="3"/>
    </row>
    <row r="65" ht="15.75" customHeight="1">
      <c r="B65" s="50" t="s">
        <v>92</v>
      </c>
      <c r="C65" s="132">
        <v>19882.49</v>
      </c>
      <c r="D65" s="133"/>
      <c r="E65" s="3"/>
      <c r="F65" s="3"/>
      <c r="G65" s="3"/>
      <c r="H65" s="3"/>
      <c r="I65" s="3"/>
      <c r="J65" s="3"/>
    </row>
    <row r="66" ht="15.75" customHeight="1">
      <c r="B66" s="3" t="s">
        <v>21</v>
      </c>
      <c r="C66" s="118">
        <f t="shared" ref="C66:D66" si="13">sum(C58:C65)</f>
        <v>2569882.49</v>
      </c>
      <c r="D66" s="118">
        <f t="shared" si="13"/>
        <v>2569882.49</v>
      </c>
      <c r="E66" s="3"/>
      <c r="F66" s="3"/>
      <c r="G66" s="3"/>
      <c r="H66" s="3"/>
      <c r="I66" s="3"/>
      <c r="J66" s="3"/>
    </row>
    <row r="67" ht="15.75" customHeight="1">
      <c r="B67" s="3"/>
      <c r="C67" s="3"/>
      <c r="D67" s="3"/>
      <c r="E67" s="3"/>
      <c r="F67" s="3"/>
      <c r="G67" s="3"/>
      <c r="H67" s="3"/>
      <c r="I67" s="3"/>
      <c r="J67" s="3"/>
    </row>
    <row r="68" ht="15.75" customHeight="1">
      <c r="B68" s="134" t="s">
        <v>134</v>
      </c>
      <c r="C68" s="3"/>
      <c r="D68" s="3"/>
      <c r="E68" s="3"/>
      <c r="F68" s="3"/>
      <c r="G68" s="3"/>
      <c r="H68" s="3"/>
      <c r="I68" s="3"/>
      <c r="J68" s="3"/>
    </row>
    <row r="69" ht="15.75" customHeight="1">
      <c r="B69" s="115" t="s">
        <v>117</v>
      </c>
      <c r="C69" s="115" t="s">
        <v>118</v>
      </c>
      <c r="D69" s="115" t="s">
        <v>119</v>
      </c>
      <c r="E69" s="3"/>
      <c r="F69" s="122" t="s">
        <v>135</v>
      </c>
      <c r="G69" s="135">
        <v>46048.0</v>
      </c>
      <c r="H69" s="50"/>
      <c r="I69" s="3"/>
      <c r="J69" s="3"/>
    </row>
    <row r="70" ht="15.75" customHeight="1">
      <c r="B70" s="3" t="s">
        <v>136</v>
      </c>
      <c r="C70" s="84" t="str">
        <f>D37</f>
        <v/>
      </c>
      <c r="D70" s="118">
        <v>45000.0</v>
      </c>
      <c r="E70" s="3"/>
      <c r="F70" s="116" t="s">
        <v>137</v>
      </c>
      <c r="G70" s="136">
        <v>524572.79</v>
      </c>
      <c r="H70" s="3"/>
      <c r="I70" s="3"/>
      <c r="J70" s="3"/>
    </row>
    <row r="71" ht="15.75" customHeight="1">
      <c r="B71" s="50" t="s">
        <v>138</v>
      </c>
      <c r="C71" s="126">
        <v>45000.0</v>
      </c>
      <c r="D71" s="133"/>
      <c r="E71" s="3"/>
      <c r="F71" s="116" t="s">
        <v>139</v>
      </c>
      <c r="G71" s="130">
        <v>510696.0</v>
      </c>
      <c r="H71" s="3"/>
      <c r="I71" s="3"/>
      <c r="J71" s="3"/>
    </row>
    <row r="72" ht="15.75" customHeight="1">
      <c r="B72" s="3" t="s">
        <v>21</v>
      </c>
      <c r="C72" s="118">
        <f t="shared" ref="C72:D72" si="14">C71+C70</f>
        <v>45000</v>
      </c>
      <c r="D72" s="118">
        <f t="shared" si="14"/>
        <v>45000</v>
      </c>
      <c r="E72" s="3"/>
      <c r="F72" s="3"/>
      <c r="G72" s="3"/>
      <c r="H72" s="3"/>
      <c r="I72" s="3"/>
      <c r="J72" s="3"/>
    </row>
    <row r="73" ht="15.75" customHeight="1">
      <c r="B73" s="3"/>
      <c r="C73" s="3"/>
      <c r="D73" s="3"/>
      <c r="E73" s="3"/>
      <c r="F73" s="3"/>
      <c r="G73" s="3"/>
      <c r="H73" s="3"/>
      <c r="I73" s="3"/>
      <c r="J73" s="3"/>
    </row>
    <row r="74" ht="15.75" customHeight="1">
      <c r="B74" s="114" t="s">
        <v>140</v>
      </c>
      <c r="C74" s="3"/>
      <c r="D74" s="130">
        <v>20692.8</v>
      </c>
      <c r="E74" s="3"/>
      <c r="F74" s="3"/>
      <c r="G74" s="3"/>
      <c r="H74" s="3"/>
      <c r="I74" s="3"/>
      <c r="J74" s="3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4:D4"/>
    <mergeCell ref="B16:D16"/>
    <mergeCell ref="F16:G16"/>
    <mergeCell ref="F28:G28"/>
  </mergeCells>
  <hyperlinks>
    <hyperlink r:id="rId1" ref="G49"/>
    <hyperlink r:id="rId2" ref="H49"/>
    <hyperlink r:id="rId3" ref="B50"/>
    <hyperlink r:id="rId4" ref="B56"/>
    <hyperlink r:id="rId5" ref="B68"/>
    <hyperlink r:id="rId6" ref="B74"/>
  </hyperlinks>
  <printOptions/>
  <pageMargins bottom="0.0" footer="0.0" header="0.0" left="0.0" right="0.0" top="0.0"/>
  <pageSetup orientation="landscape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396F"/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2" width="1.88"/>
    <col customWidth="1" min="3" max="3" width="42.25"/>
    <col customWidth="1" min="4" max="7" width="12.5"/>
    <col customWidth="1" min="8" max="8" width="14.88"/>
    <col customWidth="1" min="9" max="13" width="12.25"/>
    <col customWidth="1" min="14" max="14" width="12.5"/>
    <col customWidth="1" min="15" max="15" width="18.75"/>
    <col customWidth="1" min="16" max="28" width="16.63"/>
    <col customWidth="1" min="29" max="38" width="12.5"/>
  </cols>
  <sheetData>
    <row r="1" ht="9.75" customHeight="1"/>
    <row r="2" ht="20.25" customHeight="1">
      <c r="C2" s="70" t="s">
        <v>141</v>
      </c>
      <c r="D2" s="137"/>
      <c r="E2" s="137"/>
      <c r="F2" s="137"/>
      <c r="G2" s="137"/>
      <c r="H2" s="137"/>
      <c r="I2" s="137"/>
      <c r="J2" s="137"/>
      <c r="K2" s="137"/>
      <c r="L2" s="137"/>
      <c r="M2" s="137"/>
    </row>
    <row r="3" ht="15.75" customHeight="1">
      <c r="C3" s="138"/>
    </row>
    <row r="4" ht="26.25" customHeight="1">
      <c r="C4" s="139" t="s">
        <v>142</v>
      </c>
      <c r="D4" s="140">
        <v>2022.0</v>
      </c>
      <c r="E4" s="140">
        <v>2023.0</v>
      </c>
      <c r="F4" s="140">
        <v>2024.0</v>
      </c>
      <c r="G4" s="140" t="s">
        <v>143</v>
      </c>
      <c r="H4" s="140" t="s">
        <v>144</v>
      </c>
      <c r="I4" s="140" t="s">
        <v>145</v>
      </c>
      <c r="J4" s="140" t="s">
        <v>146</v>
      </c>
      <c r="K4" s="140" t="s">
        <v>147</v>
      </c>
      <c r="L4" s="140" t="s">
        <v>148</v>
      </c>
      <c r="M4" s="140" t="s">
        <v>149</v>
      </c>
      <c r="O4" s="140" t="s">
        <v>145</v>
      </c>
      <c r="P4" s="141" t="s">
        <v>150</v>
      </c>
      <c r="Q4" s="141" t="s">
        <v>151</v>
      </c>
      <c r="R4" s="141" t="s">
        <v>152</v>
      </c>
      <c r="S4" s="141" t="s">
        <v>153</v>
      </c>
      <c r="T4" s="141" t="s">
        <v>154</v>
      </c>
      <c r="U4" s="141" t="s">
        <v>155</v>
      </c>
      <c r="V4" s="141" t="s">
        <v>156</v>
      </c>
      <c r="W4" s="141" t="s">
        <v>157</v>
      </c>
      <c r="X4" s="141" t="s">
        <v>158</v>
      </c>
      <c r="Y4" s="141" t="s">
        <v>159</v>
      </c>
      <c r="Z4" s="141" t="s">
        <v>160</v>
      </c>
      <c r="AA4" s="141" t="s">
        <v>161</v>
      </c>
      <c r="AB4" s="140" t="s">
        <v>146</v>
      </c>
    </row>
    <row r="5" ht="15.75" customHeight="1">
      <c r="C5" s="142" t="s">
        <v>162</v>
      </c>
      <c r="D5" s="143"/>
      <c r="E5" s="143"/>
      <c r="F5" s="143"/>
      <c r="G5" s="143"/>
      <c r="H5" s="143"/>
      <c r="I5" s="144">
        <v>960000.0</v>
      </c>
      <c r="J5" s="143"/>
      <c r="K5" s="143"/>
      <c r="L5" s="143"/>
      <c r="M5" s="143"/>
      <c r="O5" s="144">
        <v>960000.0</v>
      </c>
      <c r="P5" s="143">
        <f t="shared" ref="P5:P6" si="2">O5/12</f>
        <v>80000</v>
      </c>
      <c r="Q5" s="143">
        <f t="shared" ref="Q5:AA5" si="1">P5</f>
        <v>80000</v>
      </c>
      <c r="R5" s="143">
        <f t="shared" si="1"/>
        <v>80000</v>
      </c>
      <c r="S5" s="143">
        <f t="shared" si="1"/>
        <v>80000</v>
      </c>
      <c r="T5" s="143">
        <f t="shared" si="1"/>
        <v>80000</v>
      </c>
      <c r="U5" s="143">
        <f t="shared" si="1"/>
        <v>80000</v>
      </c>
      <c r="V5" s="143">
        <f t="shared" si="1"/>
        <v>80000</v>
      </c>
      <c r="W5" s="143">
        <f t="shared" si="1"/>
        <v>80000</v>
      </c>
      <c r="X5" s="143">
        <f t="shared" si="1"/>
        <v>80000</v>
      </c>
      <c r="Y5" s="143">
        <f t="shared" si="1"/>
        <v>80000</v>
      </c>
      <c r="Z5" s="143">
        <f t="shared" si="1"/>
        <v>80000</v>
      </c>
      <c r="AA5" s="143">
        <f t="shared" si="1"/>
        <v>80000</v>
      </c>
      <c r="AB5" s="143">
        <f>O5*1.05</f>
        <v>1008000</v>
      </c>
    </row>
    <row r="6" ht="15.75" customHeight="1">
      <c r="C6" s="142" t="s">
        <v>11</v>
      </c>
      <c r="D6" s="143"/>
      <c r="E6" s="143"/>
      <c r="F6" s="143"/>
      <c r="G6" s="143"/>
      <c r="H6" s="143"/>
      <c r="I6" s="143">
        <f>I5*-0.1</f>
        <v>-96000</v>
      </c>
      <c r="J6" s="143"/>
      <c r="K6" s="143"/>
      <c r="L6" s="143"/>
      <c r="M6" s="143"/>
      <c r="O6" s="143">
        <f>O5*-0.08</f>
        <v>-76800</v>
      </c>
      <c r="P6" s="143">
        <f t="shared" si="2"/>
        <v>-6400</v>
      </c>
      <c r="Q6" s="143">
        <f t="shared" ref="Q6:AA6" si="3">P6</f>
        <v>-6400</v>
      </c>
      <c r="R6" s="143">
        <f t="shared" si="3"/>
        <v>-6400</v>
      </c>
      <c r="S6" s="143">
        <f t="shared" si="3"/>
        <v>-6400</v>
      </c>
      <c r="T6" s="143">
        <f t="shared" si="3"/>
        <v>-6400</v>
      </c>
      <c r="U6" s="143">
        <f t="shared" si="3"/>
        <v>-6400</v>
      </c>
      <c r="V6" s="143">
        <f t="shared" si="3"/>
        <v>-6400</v>
      </c>
      <c r="W6" s="143">
        <f t="shared" si="3"/>
        <v>-6400</v>
      </c>
      <c r="X6" s="143">
        <f t="shared" si="3"/>
        <v>-6400</v>
      </c>
      <c r="Y6" s="143">
        <f t="shared" si="3"/>
        <v>-6400</v>
      </c>
      <c r="Z6" s="143">
        <f t="shared" si="3"/>
        <v>-6400</v>
      </c>
      <c r="AA6" s="143">
        <f t="shared" si="3"/>
        <v>-6400</v>
      </c>
      <c r="AB6" s="143">
        <f>AB12-AB5</f>
        <v>-83804</v>
      </c>
    </row>
    <row r="7" ht="15.75" customHeight="1">
      <c r="A7" s="145"/>
      <c r="B7" s="145"/>
      <c r="C7" s="146" t="s">
        <v>163</v>
      </c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5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5"/>
      <c r="AD7" s="145"/>
      <c r="AE7" s="145"/>
      <c r="AF7" s="145"/>
      <c r="AG7" s="145"/>
      <c r="AH7" s="145"/>
      <c r="AI7" s="145"/>
      <c r="AJ7" s="145"/>
      <c r="AK7" s="145"/>
      <c r="AL7" s="145"/>
    </row>
    <row r="8" ht="15.75" customHeight="1">
      <c r="A8" s="145"/>
      <c r="B8" s="145"/>
      <c r="C8" s="148" t="s">
        <v>164</v>
      </c>
      <c r="D8" s="149"/>
      <c r="E8" s="149"/>
      <c r="F8" s="149"/>
      <c r="G8" s="149"/>
      <c r="H8" s="149"/>
      <c r="I8" s="149">
        <v>5000.0</v>
      </c>
      <c r="J8" s="149">
        <f t="shared" ref="J8:M8" si="4">I8*1.2</f>
        <v>6000</v>
      </c>
      <c r="K8" s="149">
        <f t="shared" si="4"/>
        <v>7200</v>
      </c>
      <c r="L8" s="149">
        <f t="shared" si="4"/>
        <v>8640</v>
      </c>
      <c r="M8" s="149">
        <f t="shared" si="4"/>
        <v>10368</v>
      </c>
      <c r="N8" s="145"/>
      <c r="O8" s="149">
        <v>5000.0</v>
      </c>
      <c r="P8" s="149">
        <f t="shared" ref="P8:P12" si="7">O8/12</f>
        <v>416.6666667</v>
      </c>
      <c r="Q8" s="149">
        <f t="shared" ref="Q8:AA8" si="5">P8</f>
        <v>416.6666667</v>
      </c>
      <c r="R8" s="149">
        <f t="shared" si="5"/>
        <v>416.6666667</v>
      </c>
      <c r="S8" s="149">
        <f t="shared" si="5"/>
        <v>416.6666667</v>
      </c>
      <c r="T8" s="149">
        <f t="shared" si="5"/>
        <v>416.6666667</v>
      </c>
      <c r="U8" s="149">
        <f t="shared" si="5"/>
        <v>416.6666667</v>
      </c>
      <c r="V8" s="149">
        <f t="shared" si="5"/>
        <v>416.6666667</v>
      </c>
      <c r="W8" s="149">
        <f t="shared" si="5"/>
        <v>416.6666667</v>
      </c>
      <c r="X8" s="149">
        <f t="shared" si="5"/>
        <v>416.6666667</v>
      </c>
      <c r="Y8" s="149">
        <f t="shared" si="5"/>
        <v>416.6666667</v>
      </c>
      <c r="Z8" s="149">
        <f t="shared" si="5"/>
        <v>416.6666667</v>
      </c>
      <c r="AA8" s="149">
        <f t="shared" si="5"/>
        <v>416.6666667</v>
      </c>
      <c r="AB8" s="149">
        <f>O8*1.2</f>
        <v>6000</v>
      </c>
      <c r="AC8" s="145"/>
      <c r="AD8" s="145"/>
      <c r="AE8" s="145"/>
      <c r="AF8" s="145"/>
      <c r="AG8" s="145"/>
      <c r="AH8" s="145"/>
      <c r="AI8" s="145"/>
      <c r="AJ8" s="145"/>
      <c r="AK8" s="145"/>
      <c r="AL8" s="145"/>
    </row>
    <row r="9" ht="15.75" customHeight="1">
      <c r="A9" s="145"/>
      <c r="B9" s="145"/>
      <c r="C9" s="148" t="s">
        <v>13</v>
      </c>
      <c r="D9" s="149"/>
      <c r="E9" s="149"/>
      <c r="F9" s="150">
        <v>13087.72</v>
      </c>
      <c r="G9" s="149"/>
      <c r="H9" s="149"/>
      <c r="I9" s="149">
        <v>2500.0</v>
      </c>
      <c r="J9" s="149">
        <f t="shared" ref="J9:M9" si="6">I9</f>
        <v>2500</v>
      </c>
      <c r="K9" s="149">
        <f t="shared" si="6"/>
        <v>2500</v>
      </c>
      <c r="L9" s="149">
        <f t="shared" si="6"/>
        <v>2500</v>
      </c>
      <c r="M9" s="149">
        <f t="shared" si="6"/>
        <v>2500</v>
      </c>
      <c r="N9" s="145"/>
      <c r="O9" s="149">
        <v>2500.0</v>
      </c>
      <c r="P9" s="149">
        <f t="shared" si="7"/>
        <v>208.3333333</v>
      </c>
      <c r="Q9" s="149">
        <f t="shared" ref="Q9:AA9" si="8">P9</f>
        <v>208.3333333</v>
      </c>
      <c r="R9" s="149">
        <f t="shared" si="8"/>
        <v>208.3333333</v>
      </c>
      <c r="S9" s="149">
        <f t="shared" si="8"/>
        <v>208.3333333</v>
      </c>
      <c r="T9" s="149">
        <f t="shared" si="8"/>
        <v>208.3333333</v>
      </c>
      <c r="U9" s="149">
        <f t="shared" si="8"/>
        <v>208.3333333</v>
      </c>
      <c r="V9" s="149">
        <f t="shared" si="8"/>
        <v>208.3333333</v>
      </c>
      <c r="W9" s="149">
        <f t="shared" si="8"/>
        <v>208.3333333</v>
      </c>
      <c r="X9" s="149">
        <f t="shared" si="8"/>
        <v>208.3333333</v>
      </c>
      <c r="Y9" s="149">
        <f t="shared" si="8"/>
        <v>208.3333333</v>
      </c>
      <c r="Z9" s="149">
        <f t="shared" si="8"/>
        <v>208.3333333</v>
      </c>
      <c r="AA9" s="149">
        <f t="shared" si="8"/>
        <v>208.3333333</v>
      </c>
      <c r="AB9" s="149">
        <f>O9</f>
        <v>2500</v>
      </c>
      <c r="AC9" s="145"/>
      <c r="AD9" s="145"/>
      <c r="AE9" s="145"/>
      <c r="AF9" s="145"/>
      <c r="AG9" s="145"/>
      <c r="AH9" s="145"/>
      <c r="AI9" s="145"/>
      <c r="AJ9" s="145"/>
      <c r="AK9" s="145"/>
      <c r="AL9" s="145"/>
    </row>
    <row r="10" ht="15.75" customHeight="1">
      <c r="A10" s="145"/>
      <c r="B10" s="145"/>
      <c r="C10" s="148" t="s">
        <v>165</v>
      </c>
      <c r="D10" s="151"/>
      <c r="E10" s="151"/>
      <c r="F10" s="152">
        <v>835117.5</v>
      </c>
      <c r="G10" s="149"/>
      <c r="H10" s="149">
        <f>G10*4</f>
        <v>0</v>
      </c>
      <c r="I10" s="149">
        <f>I5+I6</f>
        <v>864000</v>
      </c>
      <c r="J10" s="149">
        <f t="shared" ref="J10:M10" si="9">I10*1.03</f>
        <v>889920</v>
      </c>
      <c r="K10" s="149">
        <f t="shared" si="9"/>
        <v>916617.6</v>
      </c>
      <c r="L10" s="149">
        <f t="shared" si="9"/>
        <v>944116.128</v>
      </c>
      <c r="M10" s="149">
        <f t="shared" si="9"/>
        <v>972439.6118</v>
      </c>
      <c r="N10" s="145">
        <f t="shared" ref="N10:N12" si="12">I10/12</f>
        <v>72000</v>
      </c>
      <c r="O10" s="149">
        <f>O5+O6</f>
        <v>883200</v>
      </c>
      <c r="P10" s="149">
        <f t="shared" si="7"/>
        <v>73600</v>
      </c>
      <c r="Q10" s="149">
        <f t="shared" ref="Q10:AA10" si="10">P10</f>
        <v>73600</v>
      </c>
      <c r="R10" s="149">
        <f t="shared" si="10"/>
        <v>73600</v>
      </c>
      <c r="S10" s="149">
        <f t="shared" si="10"/>
        <v>73600</v>
      </c>
      <c r="T10" s="149">
        <f t="shared" si="10"/>
        <v>73600</v>
      </c>
      <c r="U10" s="149">
        <f t="shared" si="10"/>
        <v>73600</v>
      </c>
      <c r="V10" s="149">
        <f t="shared" si="10"/>
        <v>73600</v>
      </c>
      <c r="W10" s="149">
        <f t="shared" si="10"/>
        <v>73600</v>
      </c>
      <c r="X10" s="149">
        <f t="shared" si="10"/>
        <v>73600</v>
      </c>
      <c r="Y10" s="149">
        <f t="shared" si="10"/>
        <v>73600</v>
      </c>
      <c r="Z10" s="149">
        <f t="shared" si="10"/>
        <v>73600</v>
      </c>
      <c r="AA10" s="149">
        <f t="shared" si="10"/>
        <v>73600</v>
      </c>
      <c r="AB10" s="149">
        <f>O10*1.03</f>
        <v>909696</v>
      </c>
      <c r="AC10" s="145"/>
      <c r="AD10" s="145"/>
      <c r="AE10" s="145"/>
      <c r="AF10" s="145"/>
      <c r="AG10" s="145"/>
      <c r="AH10" s="145"/>
      <c r="AI10" s="145"/>
      <c r="AJ10" s="145"/>
      <c r="AK10" s="145"/>
      <c r="AL10" s="145"/>
    </row>
    <row r="11" ht="15.75" customHeight="1">
      <c r="A11" s="145"/>
      <c r="B11" s="145"/>
      <c r="C11" s="148" t="s">
        <v>166</v>
      </c>
      <c r="D11" s="149"/>
      <c r="E11" s="149"/>
      <c r="F11" s="149"/>
      <c r="G11" s="149"/>
      <c r="H11" s="149"/>
      <c r="I11" s="149">
        <v>5000.0</v>
      </c>
      <c r="J11" s="149">
        <f t="shared" ref="J11:M11" si="11">I11*1.2</f>
        <v>6000</v>
      </c>
      <c r="K11" s="149">
        <f t="shared" si="11"/>
        <v>7200</v>
      </c>
      <c r="L11" s="149">
        <f t="shared" si="11"/>
        <v>8640</v>
      </c>
      <c r="M11" s="149">
        <f t="shared" si="11"/>
        <v>10368</v>
      </c>
      <c r="N11" s="145">
        <f t="shared" si="12"/>
        <v>416.6666667</v>
      </c>
      <c r="O11" s="149">
        <v>5000.0</v>
      </c>
      <c r="P11" s="149">
        <f t="shared" si="7"/>
        <v>416.6666667</v>
      </c>
      <c r="Q11" s="149">
        <f t="shared" ref="Q11:AA11" si="13">P11</f>
        <v>416.6666667</v>
      </c>
      <c r="R11" s="149">
        <f t="shared" si="13"/>
        <v>416.6666667</v>
      </c>
      <c r="S11" s="149">
        <f t="shared" si="13"/>
        <v>416.6666667</v>
      </c>
      <c r="T11" s="149">
        <f t="shared" si="13"/>
        <v>416.6666667</v>
      </c>
      <c r="U11" s="149">
        <f t="shared" si="13"/>
        <v>416.6666667</v>
      </c>
      <c r="V11" s="149">
        <f t="shared" si="13"/>
        <v>416.6666667</v>
      </c>
      <c r="W11" s="149">
        <f t="shared" si="13"/>
        <v>416.6666667</v>
      </c>
      <c r="X11" s="149">
        <f t="shared" si="13"/>
        <v>416.6666667</v>
      </c>
      <c r="Y11" s="149">
        <f t="shared" si="13"/>
        <v>416.6666667</v>
      </c>
      <c r="Z11" s="149">
        <f t="shared" si="13"/>
        <v>416.6666667</v>
      </c>
      <c r="AA11" s="149">
        <f t="shared" si="13"/>
        <v>416.6666667</v>
      </c>
      <c r="AB11" s="149">
        <f>O11*1.2</f>
        <v>6000</v>
      </c>
      <c r="AC11" s="145"/>
      <c r="AD11" s="145"/>
      <c r="AE11" s="145"/>
      <c r="AF11" s="145"/>
      <c r="AG11" s="145"/>
      <c r="AH11" s="145"/>
      <c r="AI11" s="145"/>
      <c r="AJ11" s="145"/>
      <c r="AK11" s="145"/>
      <c r="AL11" s="145"/>
    </row>
    <row r="12" ht="15.75" customHeight="1">
      <c r="A12" s="145"/>
      <c r="B12" s="145"/>
      <c r="C12" s="146" t="s">
        <v>167</v>
      </c>
      <c r="D12" s="153">
        <f t="shared" ref="D12:M12" si="14">SUM(D8:D11)</f>
        <v>0</v>
      </c>
      <c r="E12" s="153">
        <f t="shared" si="14"/>
        <v>0</v>
      </c>
      <c r="F12" s="153">
        <f t="shared" si="14"/>
        <v>848205.22</v>
      </c>
      <c r="G12" s="153">
        <f t="shared" si="14"/>
        <v>0</v>
      </c>
      <c r="H12" s="153">
        <f t="shared" si="14"/>
        <v>0</v>
      </c>
      <c r="I12" s="153">
        <f t="shared" si="14"/>
        <v>876500</v>
      </c>
      <c r="J12" s="153">
        <f t="shared" si="14"/>
        <v>904420</v>
      </c>
      <c r="K12" s="153">
        <f t="shared" si="14"/>
        <v>933517.6</v>
      </c>
      <c r="L12" s="153">
        <f t="shared" si="14"/>
        <v>963896.128</v>
      </c>
      <c r="M12" s="153">
        <f t="shared" si="14"/>
        <v>995675.6118</v>
      </c>
      <c r="N12" s="145">
        <f t="shared" si="12"/>
        <v>73041.66667</v>
      </c>
      <c r="O12" s="153">
        <f>SUM(O8:O11)</f>
        <v>895700</v>
      </c>
      <c r="P12" s="149">
        <f t="shared" si="7"/>
        <v>74641.66667</v>
      </c>
      <c r="Q12" s="149">
        <f t="shared" ref="Q12:AA12" si="15">P12</f>
        <v>74641.66667</v>
      </c>
      <c r="R12" s="149">
        <f t="shared" si="15"/>
        <v>74641.66667</v>
      </c>
      <c r="S12" s="149">
        <f t="shared" si="15"/>
        <v>74641.66667</v>
      </c>
      <c r="T12" s="149">
        <f t="shared" si="15"/>
        <v>74641.66667</v>
      </c>
      <c r="U12" s="149">
        <f t="shared" si="15"/>
        <v>74641.66667</v>
      </c>
      <c r="V12" s="149">
        <f t="shared" si="15"/>
        <v>74641.66667</v>
      </c>
      <c r="W12" s="149">
        <f t="shared" si="15"/>
        <v>74641.66667</v>
      </c>
      <c r="X12" s="149">
        <f t="shared" si="15"/>
        <v>74641.66667</v>
      </c>
      <c r="Y12" s="149">
        <f t="shared" si="15"/>
        <v>74641.66667</v>
      </c>
      <c r="Z12" s="149">
        <f t="shared" si="15"/>
        <v>74641.66667</v>
      </c>
      <c r="AA12" s="149">
        <f t="shared" si="15"/>
        <v>74641.66667</v>
      </c>
      <c r="AB12" s="153">
        <f>SUM(AB8:AB11)</f>
        <v>924196</v>
      </c>
      <c r="AC12" s="145"/>
      <c r="AD12" s="145"/>
      <c r="AE12" s="145"/>
      <c r="AF12" s="145"/>
      <c r="AG12" s="145"/>
      <c r="AH12" s="145"/>
      <c r="AI12" s="145"/>
      <c r="AJ12" s="145"/>
      <c r="AK12" s="145"/>
      <c r="AL12" s="145"/>
    </row>
    <row r="13" ht="15.75" customHeight="1">
      <c r="A13" s="145"/>
      <c r="B13" s="145"/>
      <c r="C13" s="154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5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</row>
    <row r="14" ht="15.75" customHeight="1">
      <c r="A14" s="145"/>
      <c r="B14" s="145"/>
      <c r="C14" s="146" t="s">
        <v>17</v>
      </c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5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5"/>
      <c r="AD14" s="145"/>
      <c r="AE14" s="145"/>
      <c r="AF14" s="145"/>
      <c r="AG14" s="145"/>
      <c r="AH14" s="145"/>
      <c r="AI14" s="145"/>
      <c r="AJ14" s="145"/>
      <c r="AK14" s="145"/>
      <c r="AL14" s="145"/>
    </row>
    <row r="15" ht="15.75" customHeight="1">
      <c r="A15" s="145"/>
      <c r="B15" s="145"/>
      <c r="C15" s="155" t="s">
        <v>168</v>
      </c>
      <c r="D15" s="156"/>
      <c r="E15" s="157"/>
      <c r="F15" s="158">
        <v>8954.54</v>
      </c>
      <c r="G15" s="159"/>
      <c r="H15" s="149">
        <f t="shared" ref="H15:H45" si="18">G15*4</f>
        <v>0</v>
      </c>
      <c r="I15" s="150">
        <v>2000.0</v>
      </c>
      <c r="J15" s="149">
        <f t="shared" ref="J15:M15" si="16">I15*1.03</f>
        <v>2060</v>
      </c>
      <c r="K15" s="149">
        <f t="shared" si="16"/>
        <v>2121.8</v>
      </c>
      <c r="L15" s="149">
        <f t="shared" si="16"/>
        <v>2185.454</v>
      </c>
      <c r="M15" s="149">
        <f t="shared" si="16"/>
        <v>2251.01762</v>
      </c>
      <c r="N15" s="145"/>
      <c r="O15" s="150">
        <v>2000.0</v>
      </c>
      <c r="P15" s="149">
        <f t="shared" ref="P15:P47" si="20">O15/12</f>
        <v>166.6666667</v>
      </c>
      <c r="Q15" s="149">
        <f t="shared" ref="Q15:AA15" si="17">P15</f>
        <v>166.6666667</v>
      </c>
      <c r="R15" s="149">
        <f t="shared" si="17"/>
        <v>166.6666667</v>
      </c>
      <c r="S15" s="149">
        <f t="shared" si="17"/>
        <v>166.6666667</v>
      </c>
      <c r="T15" s="149">
        <f t="shared" si="17"/>
        <v>166.6666667</v>
      </c>
      <c r="U15" s="149">
        <f t="shared" si="17"/>
        <v>166.6666667</v>
      </c>
      <c r="V15" s="149">
        <f t="shared" si="17"/>
        <v>166.6666667</v>
      </c>
      <c r="W15" s="149">
        <f t="shared" si="17"/>
        <v>166.6666667</v>
      </c>
      <c r="X15" s="149">
        <f t="shared" si="17"/>
        <v>166.6666667</v>
      </c>
      <c r="Y15" s="149">
        <f t="shared" si="17"/>
        <v>166.6666667</v>
      </c>
      <c r="Z15" s="149">
        <f t="shared" si="17"/>
        <v>166.6666667</v>
      </c>
      <c r="AA15" s="149">
        <f t="shared" si="17"/>
        <v>166.6666667</v>
      </c>
      <c r="AB15" s="149">
        <f t="shared" ref="AB15:AB41" si="22">O15*1.03</f>
        <v>2060</v>
      </c>
      <c r="AC15" s="145"/>
      <c r="AD15" s="145"/>
      <c r="AE15" s="145"/>
      <c r="AF15" s="145"/>
      <c r="AG15" s="145"/>
      <c r="AH15" s="145"/>
      <c r="AI15" s="145"/>
      <c r="AJ15" s="145"/>
      <c r="AK15" s="145"/>
      <c r="AL15" s="145"/>
    </row>
    <row r="16" ht="15.75" customHeight="1">
      <c r="A16" s="145"/>
      <c r="B16" s="145"/>
      <c r="C16" s="155" t="s">
        <v>169</v>
      </c>
      <c r="D16" s="157"/>
      <c r="E16" s="157"/>
      <c r="F16" s="158">
        <v>252.13</v>
      </c>
      <c r="G16" s="159"/>
      <c r="H16" s="149">
        <f t="shared" si="18"/>
        <v>0</v>
      </c>
      <c r="I16" s="150">
        <v>600.0</v>
      </c>
      <c r="J16" s="149">
        <f t="shared" ref="J16:M16" si="19">I16*1.03</f>
        <v>618</v>
      </c>
      <c r="K16" s="149">
        <f t="shared" si="19"/>
        <v>636.54</v>
      </c>
      <c r="L16" s="149">
        <f t="shared" si="19"/>
        <v>655.6362</v>
      </c>
      <c r="M16" s="149">
        <f t="shared" si="19"/>
        <v>675.305286</v>
      </c>
      <c r="N16" s="145"/>
      <c r="O16" s="150">
        <v>600.0</v>
      </c>
      <c r="P16" s="149">
        <f t="shared" si="20"/>
        <v>50</v>
      </c>
      <c r="Q16" s="149">
        <f t="shared" ref="Q16:AA16" si="21">P16</f>
        <v>50</v>
      </c>
      <c r="R16" s="149">
        <f t="shared" si="21"/>
        <v>50</v>
      </c>
      <c r="S16" s="149">
        <f t="shared" si="21"/>
        <v>50</v>
      </c>
      <c r="T16" s="149">
        <f t="shared" si="21"/>
        <v>50</v>
      </c>
      <c r="U16" s="149">
        <f t="shared" si="21"/>
        <v>50</v>
      </c>
      <c r="V16" s="149">
        <f t="shared" si="21"/>
        <v>50</v>
      </c>
      <c r="W16" s="149">
        <f t="shared" si="21"/>
        <v>50</v>
      </c>
      <c r="X16" s="149">
        <f t="shared" si="21"/>
        <v>50</v>
      </c>
      <c r="Y16" s="149">
        <f t="shared" si="21"/>
        <v>50</v>
      </c>
      <c r="Z16" s="149">
        <f t="shared" si="21"/>
        <v>50</v>
      </c>
      <c r="AA16" s="149">
        <f t="shared" si="21"/>
        <v>50</v>
      </c>
      <c r="AB16" s="149">
        <f t="shared" si="22"/>
        <v>618</v>
      </c>
      <c r="AC16" s="145"/>
      <c r="AD16" s="145"/>
      <c r="AE16" s="145"/>
      <c r="AF16" s="145"/>
      <c r="AG16" s="145"/>
      <c r="AH16" s="145"/>
      <c r="AI16" s="145"/>
      <c r="AJ16" s="145"/>
      <c r="AK16" s="145"/>
      <c r="AL16" s="145"/>
    </row>
    <row r="17" ht="15.75" customHeight="1">
      <c r="A17" s="145"/>
      <c r="B17" s="145"/>
      <c r="C17" s="155" t="s">
        <v>170</v>
      </c>
      <c r="D17" s="157"/>
      <c r="E17" s="157"/>
      <c r="F17" s="158">
        <v>3817.98</v>
      </c>
      <c r="G17" s="159"/>
      <c r="H17" s="149">
        <f t="shared" si="18"/>
        <v>0</v>
      </c>
      <c r="I17" s="150">
        <v>500.0</v>
      </c>
      <c r="J17" s="149">
        <f t="shared" ref="J17:M17" si="23">I17*1.03</f>
        <v>515</v>
      </c>
      <c r="K17" s="149">
        <f t="shared" si="23"/>
        <v>530.45</v>
      </c>
      <c r="L17" s="149">
        <f t="shared" si="23"/>
        <v>546.3635</v>
      </c>
      <c r="M17" s="149">
        <f t="shared" si="23"/>
        <v>562.754405</v>
      </c>
      <c r="N17" s="145"/>
      <c r="O17" s="150">
        <v>500.0</v>
      </c>
      <c r="P17" s="149">
        <f t="shared" si="20"/>
        <v>41.66666667</v>
      </c>
      <c r="Q17" s="149">
        <f t="shared" ref="Q17:AA17" si="24">P17</f>
        <v>41.66666667</v>
      </c>
      <c r="R17" s="149">
        <f t="shared" si="24"/>
        <v>41.66666667</v>
      </c>
      <c r="S17" s="149">
        <f t="shared" si="24"/>
        <v>41.66666667</v>
      </c>
      <c r="T17" s="149">
        <f t="shared" si="24"/>
        <v>41.66666667</v>
      </c>
      <c r="U17" s="149">
        <f t="shared" si="24"/>
        <v>41.66666667</v>
      </c>
      <c r="V17" s="149">
        <f t="shared" si="24"/>
        <v>41.66666667</v>
      </c>
      <c r="W17" s="149">
        <f t="shared" si="24"/>
        <v>41.66666667</v>
      </c>
      <c r="X17" s="149">
        <f t="shared" si="24"/>
        <v>41.66666667</v>
      </c>
      <c r="Y17" s="149">
        <f t="shared" si="24"/>
        <v>41.66666667</v>
      </c>
      <c r="Z17" s="149">
        <f t="shared" si="24"/>
        <v>41.66666667</v>
      </c>
      <c r="AA17" s="149">
        <f t="shared" si="24"/>
        <v>41.66666667</v>
      </c>
      <c r="AB17" s="149">
        <f t="shared" si="22"/>
        <v>515</v>
      </c>
      <c r="AC17" s="145"/>
      <c r="AD17" s="145"/>
      <c r="AE17" s="145"/>
      <c r="AF17" s="145"/>
      <c r="AG17" s="145"/>
      <c r="AH17" s="145"/>
      <c r="AI17" s="145"/>
      <c r="AJ17" s="145"/>
      <c r="AK17" s="145"/>
      <c r="AL17" s="145"/>
    </row>
    <row r="18" ht="15.75" customHeight="1">
      <c r="A18" s="145"/>
      <c r="B18" s="145"/>
      <c r="C18" s="155" t="s">
        <v>171</v>
      </c>
      <c r="D18" s="157"/>
      <c r="E18" s="157"/>
      <c r="F18" s="158">
        <v>1819.25</v>
      </c>
      <c r="G18" s="159"/>
      <c r="H18" s="149">
        <f t="shared" si="18"/>
        <v>0</v>
      </c>
      <c r="I18" s="150">
        <v>1800.0</v>
      </c>
      <c r="J18" s="149">
        <f t="shared" ref="J18:M18" si="25">I18*1.03</f>
        <v>1854</v>
      </c>
      <c r="K18" s="149">
        <f t="shared" si="25"/>
        <v>1909.62</v>
      </c>
      <c r="L18" s="149">
        <f t="shared" si="25"/>
        <v>1966.9086</v>
      </c>
      <c r="M18" s="149">
        <f t="shared" si="25"/>
        <v>2025.915858</v>
      </c>
      <c r="N18" s="145"/>
      <c r="O18" s="150">
        <v>1800.0</v>
      </c>
      <c r="P18" s="149">
        <f t="shared" si="20"/>
        <v>150</v>
      </c>
      <c r="Q18" s="149">
        <f t="shared" ref="Q18:AA18" si="26">P18</f>
        <v>150</v>
      </c>
      <c r="R18" s="149">
        <f t="shared" si="26"/>
        <v>150</v>
      </c>
      <c r="S18" s="149">
        <f t="shared" si="26"/>
        <v>150</v>
      </c>
      <c r="T18" s="149">
        <f t="shared" si="26"/>
        <v>150</v>
      </c>
      <c r="U18" s="149">
        <f t="shared" si="26"/>
        <v>150</v>
      </c>
      <c r="V18" s="149">
        <f t="shared" si="26"/>
        <v>150</v>
      </c>
      <c r="W18" s="149">
        <f t="shared" si="26"/>
        <v>150</v>
      </c>
      <c r="X18" s="149">
        <f t="shared" si="26"/>
        <v>150</v>
      </c>
      <c r="Y18" s="149">
        <f t="shared" si="26"/>
        <v>150</v>
      </c>
      <c r="Z18" s="149">
        <f t="shared" si="26"/>
        <v>150</v>
      </c>
      <c r="AA18" s="149">
        <f t="shared" si="26"/>
        <v>150</v>
      </c>
      <c r="AB18" s="149">
        <f t="shared" si="22"/>
        <v>1854</v>
      </c>
      <c r="AC18" s="145"/>
      <c r="AD18" s="145"/>
      <c r="AE18" s="145"/>
      <c r="AF18" s="145"/>
      <c r="AG18" s="145"/>
      <c r="AH18" s="145"/>
      <c r="AI18" s="145"/>
      <c r="AJ18" s="145"/>
      <c r="AK18" s="145"/>
      <c r="AL18" s="145"/>
    </row>
    <row r="19" ht="15.75" customHeight="1">
      <c r="A19" s="145"/>
      <c r="B19" s="145"/>
      <c r="C19" s="155" t="s">
        <v>172</v>
      </c>
      <c r="D19" s="157"/>
      <c r="E19" s="157"/>
      <c r="F19" s="160"/>
      <c r="G19" s="159"/>
      <c r="H19" s="149">
        <f t="shared" si="18"/>
        <v>0</v>
      </c>
      <c r="I19" s="150">
        <v>6720.0</v>
      </c>
      <c r="J19" s="149">
        <f t="shared" ref="J19:M19" si="27">I19*1.03</f>
        <v>6921.6</v>
      </c>
      <c r="K19" s="149">
        <f t="shared" si="27"/>
        <v>7129.248</v>
      </c>
      <c r="L19" s="149">
        <f t="shared" si="27"/>
        <v>7343.12544</v>
      </c>
      <c r="M19" s="149">
        <f t="shared" si="27"/>
        <v>7563.419203</v>
      </c>
      <c r="N19" s="145"/>
      <c r="O19" s="150">
        <v>6720.0</v>
      </c>
      <c r="P19" s="149">
        <f t="shared" si="20"/>
        <v>560</v>
      </c>
      <c r="Q19" s="149">
        <f t="shared" ref="Q19:AA19" si="28">P19</f>
        <v>560</v>
      </c>
      <c r="R19" s="149">
        <f t="shared" si="28"/>
        <v>560</v>
      </c>
      <c r="S19" s="149">
        <f t="shared" si="28"/>
        <v>560</v>
      </c>
      <c r="T19" s="149">
        <f t="shared" si="28"/>
        <v>560</v>
      </c>
      <c r="U19" s="149">
        <f t="shared" si="28"/>
        <v>560</v>
      </c>
      <c r="V19" s="149">
        <f t="shared" si="28"/>
        <v>560</v>
      </c>
      <c r="W19" s="149">
        <f t="shared" si="28"/>
        <v>560</v>
      </c>
      <c r="X19" s="149">
        <f t="shared" si="28"/>
        <v>560</v>
      </c>
      <c r="Y19" s="149">
        <f t="shared" si="28"/>
        <v>560</v>
      </c>
      <c r="Z19" s="149">
        <f t="shared" si="28"/>
        <v>560</v>
      </c>
      <c r="AA19" s="149">
        <f t="shared" si="28"/>
        <v>560</v>
      </c>
      <c r="AB19" s="149">
        <f t="shared" si="22"/>
        <v>6921.6</v>
      </c>
      <c r="AC19" s="145"/>
      <c r="AD19" s="145"/>
      <c r="AE19" s="145"/>
      <c r="AF19" s="145"/>
      <c r="AG19" s="145"/>
      <c r="AH19" s="145"/>
      <c r="AI19" s="145"/>
      <c r="AJ19" s="145"/>
      <c r="AK19" s="145"/>
      <c r="AL19" s="145"/>
    </row>
    <row r="20" ht="15.75" hidden="1" customHeight="1">
      <c r="A20" s="145"/>
      <c r="B20" s="145"/>
      <c r="C20" s="155" t="s">
        <v>173</v>
      </c>
      <c r="D20" s="149"/>
      <c r="E20" s="149"/>
      <c r="F20" s="160"/>
      <c r="G20" s="159"/>
      <c r="H20" s="149">
        <f t="shared" si="18"/>
        <v>0</v>
      </c>
      <c r="I20" s="149"/>
      <c r="J20" s="149">
        <f t="shared" ref="J20:M20" si="29">I20*1.03</f>
        <v>0</v>
      </c>
      <c r="K20" s="149">
        <f t="shared" si="29"/>
        <v>0</v>
      </c>
      <c r="L20" s="149">
        <f t="shared" si="29"/>
        <v>0</v>
      </c>
      <c r="M20" s="149">
        <f t="shared" si="29"/>
        <v>0</v>
      </c>
      <c r="N20" s="145"/>
      <c r="O20" s="149"/>
      <c r="P20" s="149">
        <f t="shared" si="20"/>
        <v>0</v>
      </c>
      <c r="Q20" s="149">
        <f t="shared" ref="Q20:AA20" si="30">P20</f>
        <v>0</v>
      </c>
      <c r="R20" s="149">
        <f t="shared" si="30"/>
        <v>0</v>
      </c>
      <c r="S20" s="149">
        <f t="shared" si="30"/>
        <v>0</v>
      </c>
      <c r="T20" s="149">
        <f t="shared" si="30"/>
        <v>0</v>
      </c>
      <c r="U20" s="149">
        <f t="shared" si="30"/>
        <v>0</v>
      </c>
      <c r="V20" s="149">
        <f t="shared" si="30"/>
        <v>0</v>
      </c>
      <c r="W20" s="149">
        <f t="shared" si="30"/>
        <v>0</v>
      </c>
      <c r="X20" s="149">
        <f t="shared" si="30"/>
        <v>0</v>
      </c>
      <c r="Y20" s="149">
        <f t="shared" si="30"/>
        <v>0</v>
      </c>
      <c r="Z20" s="149">
        <f t="shared" si="30"/>
        <v>0</v>
      </c>
      <c r="AA20" s="149">
        <f t="shared" si="30"/>
        <v>0</v>
      </c>
      <c r="AB20" s="149">
        <f t="shared" si="22"/>
        <v>0</v>
      </c>
      <c r="AC20" s="145"/>
      <c r="AD20" s="145"/>
      <c r="AE20" s="145"/>
      <c r="AF20" s="145"/>
      <c r="AG20" s="145"/>
      <c r="AH20" s="145"/>
      <c r="AI20" s="145"/>
      <c r="AJ20" s="145"/>
      <c r="AK20" s="145"/>
      <c r="AL20" s="145"/>
    </row>
    <row r="21" ht="15.75" customHeight="1">
      <c r="A21" s="145"/>
      <c r="B21" s="145"/>
      <c r="C21" s="155" t="s">
        <v>174</v>
      </c>
      <c r="D21" s="157"/>
      <c r="E21" s="157"/>
      <c r="F21" s="158">
        <v>2070.99</v>
      </c>
      <c r="G21" s="159"/>
      <c r="H21" s="149">
        <f t="shared" si="18"/>
        <v>0</v>
      </c>
      <c r="I21" s="150">
        <v>2100.0</v>
      </c>
      <c r="J21" s="149">
        <f t="shared" ref="J21:M21" si="31">I21*1.03</f>
        <v>2163</v>
      </c>
      <c r="K21" s="149">
        <f t="shared" si="31"/>
        <v>2227.89</v>
      </c>
      <c r="L21" s="149">
        <f t="shared" si="31"/>
        <v>2294.7267</v>
      </c>
      <c r="M21" s="149">
        <f t="shared" si="31"/>
        <v>2363.568501</v>
      </c>
      <c r="N21" s="145"/>
      <c r="O21" s="161">
        <v>2100.0</v>
      </c>
      <c r="P21" s="149">
        <f t="shared" si="20"/>
        <v>175</v>
      </c>
      <c r="Q21" s="149">
        <f t="shared" ref="Q21:AA21" si="32">P21</f>
        <v>175</v>
      </c>
      <c r="R21" s="149">
        <f t="shared" si="32"/>
        <v>175</v>
      </c>
      <c r="S21" s="149">
        <f t="shared" si="32"/>
        <v>175</v>
      </c>
      <c r="T21" s="149">
        <f t="shared" si="32"/>
        <v>175</v>
      </c>
      <c r="U21" s="149">
        <f t="shared" si="32"/>
        <v>175</v>
      </c>
      <c r="V21" s="149">
        <f t="shared" si="32"/>
        <v>175</v>
      </c>
      <c r="W21" s="149">
        <f t="shared" si="32"/>
        <v>175</v>
      </c>
      <c r="X21" s="149">
        <f t="shared" si="32"/>
        <v>175</v>
      </c>
      <c r="Y21" s="149">
        <f t="shared" si="32"/>
        <v>175</v>
      </c>
      <c r="Z21" s="149">
        <f t="shared" si="32"/>
        <v>175</v>
      </c>
      <c r="AA21" s="149">
        <f t="shared" si="32"/>
        <v>175</v>
      </c>
      <c r="AB21" s="149">
        <f t="shared" si="22"/>
        <v>2163</v>
      </c>
      <c r="AC21" s="145"/>
      <c r="AD21" s="145"/>
      <c r="AE21" s="145"/>
      <c r="AF21" s="145"/>
      <c r="AG21" s="145"/>
      <c r="AH21" s="145"/>
      <c r="AI21" s="145"/>
      <c r="AJ21" s="145"/>
      <c r="AK21" s="145"/>
      <c r="AL21" s="145"/>
    </row>
    <row r="22" ht="15.75" customHeight="1">
      <c r="A22" s="145"/>
      <c r="B22" s="145"/>
      <c r="C22" s="155" t="s">
        <v>175</v>
      </c>
      <c r="D22" s="162"/>
      <c r="E22" s="162"/>
      <c r="F22" s="163">
        <v>54623.0</v>
      </c>
      <c r="G22" s="164"/>
      <c r="H22" s="149">
        <f t="shared" si="18"/>
        <v>0</v>
      </c>
      <c r="I22" s="165">
        <v>55000.0</v>
      </c>
      <c r="J22" s="149">
        <f t="shared" ref="J22:M22" si="33">I22*1.03</f>
        <v>56650</v>
      </c>
      <c r="K22" s="149">
        <f t="shared" si="33"/>
        <v>58349.5</v>
      </c>
      <c r="L22" s="149">
        <f t="shared" si="33"/>
        <v>60099.985</v>
      </c>
      <c r="M22" s="149">
        <f t="shared" si="33"/>
        <v>61902.98455</v>
      </c>
      <c r="N22" s="145"/>
      <c r="O22" s="161">
        <v>55000.0</v>
      </c>
      <c r="P22" s="149">
        <f t="shared" si="20"/>
        <v>4583.333333</v>
      </c>
      <c r="Q22" s="149">
        <f t="shared" ref="Q22:AA22" si="34">P22</f>
        <v>4583.333333</v>
      </c>
      <c r="R22" s="149">
        <f t="shared" si="34"/>
        <v>4583.333333</v>
      </c>
      <c r="S22" s="149">
        <f t="shared" si="34"/>
        <v>4583.333333</v>
      </c>
      <c r="T22" s="149">
        <f t="shared" si="34"/>
        <v>4583.333333</v>
      </c>
      <c r="U22" s="149">
        <f t="shared" si="34"/>
        <v>4583.333333</v>
      </c>
      <c r="V22" s="149">
        <f t="shared" si="34"/>
        <v>4583.333333</v>
      </c>
      <c r="W22" s="149">
        <f t="shared" si="34"/>
        <v>4583.333333</v>
      </c>
      <c r="X22" s="149">
        <f t="shared" si="34"/>
        <v>4583.333333</v>
      </c>
      <c r="Y22" s="149">
        <f t="shared" si="34"/>
        <v>4583.333333</v>
      </c>
      <c r="Z22" s="149">
        <f t="shared" si="34"/>
        <v>4583.333333</v>
      </c>
      <c r="AA22" s="149">
        <f t="shared" si="34"/>
        <v>4583.333333</v>
      </c>
      <c r="AB22" s="149">
        <f t="shared" si="22"/>
        <v>56650</v>
      </c>
      <c r="AC22" s="145"/>
      <c r="AD22" s="145"/>
      <c r="AE22" s="145"/>
      <c r="AF22" s="145"/>
      <c r="AG22" s="145"/>
      <c r="AH22" s="145"/>
      <c r="AI22" s="145"/>
      <c r="AJ22" s="145"/>
      <c r="AK22" s="145"/>
      <c r="AL22" s="145"/>
    </row>
    <row r="23" ht="15.75" customHeight="1">
      <c r="A23" s="145"/>
      <c r="B23" s="145"/>
      <c r="C23" s="155" t="s">
        <v>176</v>
      </c>
      <c r="D23" s="149"/>
      <c r="E23" s="149"/>
      <c r="F23" s="158">
        <f>725+790+478809.52+720.25-54623</f>
        <v>426421.77</v>
      </c>
      <c r="G23" s="159"/>
      <c r="H23" s="149">
        <f t="shared" si="18"/>
        <v>0</v>
      </c>
      <c r="I23" s="166">
        <v>385000.0</v>
      </c>
      <c r="J23" s="149">
        <f t="shared" ref="J23:M23" si="35">I23*1.03</f>
        <v>396550</v>
      </c>
      <c r="K23" s="149">
        <f t="shared" si="35"/>
        <v>408446.5</v>
      </c>
      <c r="L23" s="149">
        <f t="shared" si="35"/>
        <v>420699.895</v>
      </c>
      <c r="M23" s="149">
        <f t="shared" si="35"/>
        <v>433320.8919</v>
      </c>
      <c r="N23" s="145"/>
      <c r="O23" s="161">
        <v>385000.0</v>
      </c>
      <c r="P23" s="149">
        <f t="shared" si="20"/>
        <v>32083.33333</v>
      </c>
      <c r="Q23" s="149">
        <f t="shared" ref="Q23:AA23" si="36">P23</f>
        <v>32083.33333</v>
      </c>
      <c r="R23" s="149">
        <f t="shared" si="36"/>
        <v>32083.33333</v>
      </c>
      <c r="S23" s="149">
        <f t="shared" si="36"/>
        <v>32083.33333</v>
      </c>
      <c r="T23" s="149">
        <f t="shared" si="36"/>
        <v>32083.33333</v>
      </c>
      <c r="U23" s="149">
        <f t="shared" si="36"/>
        <v>32083.33333</v>
      </c>
      <c r="V23" s="149">
        <f t="shared" si="36"/>
        <v>32083.33333</v>
      </c>
      <c r="W23" s="149">
        <f t="shared" si="36"/>
        <v>32083.33333</v>
      </c>
      <c r="X23" s="149">
        <f t="shared" si="36"/>
        <v>32083.33333</v>
      </c>
      <c r="Y23" s="149">
        <f t="shared" si="36"/>
        <v>32083.33333</v>
      </c>
      <c r="Z23" s="149">
        <f t="shared" si="36"/>
        <v>32083.33333</v>
      </c>
      <c r="AA23" s="149">
        <f t="shared" si="36"/>
        <v>32083.33333</v>
      </c>
      <c r="AB23" s="149">
        <f t="shared" si="22"/>
        <v>396550</v>
      </c>
      <c r="AC23" s="145"/>
      <c r="AD23" s="145"/>
      <c r="AE23" s="145"/>
      <c r="AF23" s="145"/>
      <c r="AG23" s="145"/>
      <c r="AH23" s="145"/>
      <c r="AI23" s="145"/>
      <c r="AJ23" s="145"/>
      <c r="AK23" s="145"/>
      <c r="AL23" s="145"/>
    </row>
    <row r="24" ht="15.75" customHeight="1">
      <c r="A24" s="145"/>
      <c r="B24" s="145"/>
      <c r="C24" s="155" t="s">
        <v>177</v>
      </c>
      <c r="D24" s="149"/>
      <c r="E24" s="149"/>
      <c r="F24" s="158">
        <v>29512.0</v>
      </c>
      <c r="G24" s="159"/>
      <c r="H24" s="149">
        <f t="shared" si="18"/>
        <v>0</v>
      </c>
      <c r="I24" s="150">
        <v>43200.0</v>
      </c>
      <c r="J24" s="149">
        <f t="shared" ref="J24:M24" si="37">I24*1.03</f>
        <v>44496</v>
      </c>
      <c r="K24" s="149">
        <f t="shared" si="37"/>
        <v>45830.88</v>
      </c>
      <c r="L24" s="149">
        <f t="shared" si="37"/>
        <v>47205.8064</v>
      </c>
      <c r="M24" s="149">
        <f t="shared" si="37"/>
        <v>48621.98059</v>
      </c>
      <c r="N24" s="145"/>
      <c r="O24" s="161">
        <v>43200.0</v>
      </c>
      <c r="P24" s="149">
        <f t="shared" si="20"/>
        <v>3600</v>
      </c>
      <c r="Q24" s="149">
        <f t="shared" ref="Q24:AA24" si="38">P24</f>
        <v>3600</v>
      </c>
      <c r="R24" s="149">
        <f t="shared" si="38"/>
        <v>3600</v>
      </c>
      <c r="S24" s="149">
        <f t="shared" si="38"/>
        <v>3600</v>
      </c>
      <c r="T24" s="149">
        <f t="shared" si="38"/>
        <v>3600</v>
      </c>
      <c r="U24" s="149">
        <f t="shared" si="38"/>
        <v>3600</v>
      </c>
      <c r="V24" s="149">
        <f t="shared" si="38"/>
        <v>3600</v>
      </c>
      <c r="W24" s="149">
        <f t="shared" si="38"/>
        <v>3600</v>
      </c>
      <c r="X24" s="149">
        <f t="shared" si="38"/>
        <v>3600</v>
      </c>
      <c r="Y24" s="149">
        <f t="shared" si="38"/>
        <v>3600</v>
      </c>
      <c r="Z24" s="149">
        <f t="shared" si="38"/>
        <v>3600</v>
      </c>
      <c r="AA24" s="149">
        <f t="shared" si="38"/>
        <v>3600</v>
      </c>
      <c r="AB24" s="149">
        <f t="shared" si="22"/>
        <v>44496</v>
      </c>
      <c r="AC24" s="145"/>
      <c r="AD24" s="145"/>
      <c r="AE24" s="145"/>
      <c r="AF24" s="145"/>
      <c r="AG24" s="145"/>
      <c r="AH24" s="145"/>
      <c r="AI24" s="145"/>
      <c r="AJ24" s="145"/>
      <c r="AK24" s="145"/>
      <c r="AL24" s="145"/>
    </row>
    <row r="25" ht="15.75" hidden="1" customHeight="1">
      <c r="A25" s="145"/>
      <c r="B25" s="145"/>
      <c r="C25" s="155" t="s">
        <v>178</v>
      </c>
      <c r="D25" s="149"/>
      <c r="E25" s="149"/>
      <c r="F25" s="160"/>
      <c r="G25" s="159"/>
      <c r="H25" s="149">
        <f t="shared" si="18"/>
        <v>0</v>
      </c>
      <c r="I25" s="149"/>
      <c r="J25" s="149">
        <f t="shared" ref="J25:M25" si="39">I25*1.03</f>
        <v>0</v>
      </c>
      <c r="K25" s="149">
        <f t="shared" si="39"/>
        <v>0</v>
      </c>
      <c r="L25" s="149">
        <f t="shared" si="39"/>
        <v>0</v>
      </c>
      <c r="M25" s="149">
        <f t="shared" si="39"/>
        <v>0</v>
      </c>
      <c r="N25" s="145"/>
      <c r="O25" s="167"/>
      <c r="P25" s="149">
        <f t="shared" si="20"/>
        <v>0</v>
      </c>
      <c r="Q25" s="149">
        <f t="shared" ref="Q25:AA25" si="40">P25</f>
        <v>0</v>
      </c>
      <c r="R25" s="149">
        <f t="shared" si="40"/>
        <v>0</v>
      </c>
      <c r="S25" s="149">
        <f t="shared" si="40"/>
        <v>0</v>
      </c>
      <c r="T25" s="149">
        <f t="shared" si="40"/>
        <v>0</v>
      </c>
      <c r="U25" s="149">
        <f t="shared" si="40"/>
        <v>0</v>
      </c>
      <c r="V25" s="149">
        <f t="shared" si="40"/>
        <v>0</v>
      </c>
      <c r="W25" s="149">
        <f t="shared" si="40"/>
        <v>0</v>
      </c>
      <c r="X25" s="149">
        <f t="shared" si="40"/>
        <v>0</v>
      </c>
      <c r="Y25" s="149">
        <f t="shared" si="40"/>
        <v>0</v>
      </c>
      <c r="Z25" s="149">
        <f t="shared" si="40"/>
        <v>0</v>
      </c>
      <c r="AA25" s="149">
        <f t="shared" si="40"/>
        <v>0</v>
      </c>
      <c r="AB25" s="149">
        <f t="shared" si="22"/>
        <v>0</v>
      </c>
      <c r="AC25" s="145"/>
      <c r="AD25" s="145"/>
      <c r="AE25" s="145"/>
      <c r="AF25" s="145"/>
      <c r="AG25" s="145"/>
      <c r="AH25" s="145"/>
      <c r="AI25" s="145"/>
      <c r="AJ25" s="145"/>
      <c r="AK25" s="145"/>
      <c r="AL25" s="145"/>
    </row>
    <row r="26" ht="15.75" hidden="1" customHeight="1">
      <c r="A26" s="145"/>
      <c r="B26" s="145"/>
      <c r="C26" s="155" t="s">
        <v>179</v>
      </c>
      <c r="D26" s="157"/>
      <c r="E26" s="157"/>
      <c r="F26" s="158">
        <f>171.62+5295.66</f>
        <v>5467.28</v>
      </c>
      <c r="G26" s="159"/>
      <c r="H26" s="149">
        <f t="shared" si="18"/>
        <v>0</v>
      </c>
      <c r="I26" s="149"/>
      <c r="J26" s="149">
        <f t="shared" ref="J26:M26" si="41">I26*1.03</f>
        <v>0</v>
      </c>
      <c r="K26" s="149">
        <f t="shared" si="41"/>
        <v>0</v>
      </c>
      <c r="L26" s="149">
        <f t="shared" si="41"/>
        <v>0</v>
      </c>
      <c r="M26" s="149">
        <f t="shared" si="41"/>
        <v>0</v>
      </c>
      <c r="N26" s="145"/>
      <c r="O26" s="167"/>
      <c r="P26" s="149">
        <f t="shared" si="20"/>
        <v>0</v>
      </c>
      <c r="Q26" s="149">
        <f t="shared" ref="Q26:AA26" si="42">P26</f>
        <v>0</v>
      </c>
      <c r="R26" s="149">
        <f t="shared" si="42"/>
        <v>0</v>
      </c>
      <c r="S26" s="149">
        <f t="shared" si="42"/>
        <v>0</v>
      </c>
      <c r="T26" s="149">
        <f t="shared" si="42"/>
        <v>0</v>
      </c>
      <c r="U26" s="149">
        <f t="shared" si="42"/>
        <v>0</v>
      </c>
      <c r="V26" s="149">
        <f t="shared" si="42"/>
        <v>0</v>
      </c>
      <c r="W26" s="149">
        <f t="shared" si="42"/>
        <v>0</v>
      </c>
      <c r="X26" s="149">
        <f t="shared" si="42"/>
        <v>0</v>
      </c>
      <c r="Y26" s="149">
        <f t="shared" si="42"/>
        <v>0</v>
      </c>
      <c r="Z26" s="149">
        <f t="shared" si="42"/>
        <v>0</v>
      </c>
      <c r="AA26" s="149">
        <f t="shared" si="42"/>
        <v>0</v>
      </c>
      <c r="AB26" s="149">
        <f t="shared" si="22"/>
        <v>0</v>
      </c>
      <c r="AC26" s="145"/>
      <c r="AD26" s="145"/>
      <c r="AE26" s="145"/>
      <c r="AF26" s="145"/>
      <c r="AG26" s="145"/>
      <c r="AH26" s="145"/>
      <c r="AI26" s="145"/>
      <c r="AJ26" s="145"/>
      <c r="AK26" s="145"/>
      <c r="AL26" s="145"/>
    </row>
    <row r="27" ht="15.75" hidden="1" customHeight="1">
      <c r="A27" s="145"/>
      <c r="B27" s="145"/>
      <c r="C27" s="155" t="s">
        <v>180</v>
      </c>
      <c r="D27" s="149"/>
      <c r="E27" s="149"/>
      <c r="F27" s="160"/>
      <c r="G27" s="159"/>
      <c r="H27" s="149">
        <f t="shared" si="18"/>
        <v>0</v>
      </c>
      <c r="I27" s="149"/>
      <c r="J27" s="149">
        <f t="shared" ref="J27:M27" si="43">I27*1.03</f>
        <v>0</v>
      </c>
      <c r="K27" s="149">
        <f t="shared" si="43"/>
        <v>0</v>
      </c>
      <c r="L27" s="149">
        <f t="shared" si="43"/>
        <v>0</v>
      </c>
      <c r="M27" s="149">
        <f t="shared" si="43"/>
        <v>0</v>
      </c>
      <c r="N27" s="145"/>
      <c r="O27" s="167"/>
      <c r="P27" s="149">
        <f t="shared" si="20"/>
        <v>0</v>
      </c>
      <c r="Q27" s="149">
        <f t="shared" ref="Q27:AA27" si="44">P27</f>
        <v>0</v>
      </c>
      <c r="R27" s="149">
        <f t="shared" si="44"/>
        <v>0</v>
      </c>
      <c r="S27" s="149">
        <f t="shared" si="44"/>
        <v>0</v>
      </c>
      <c r="T27" s="149">
        <f t="shared" si="44"/>
        <v>0</v>
      </c>
      <c r="U27" s="149">
        <f t="shared" si="44"/>
        <v>0</v>
      </c>
      <c r="V27" s="149">
        <f t="shared" si="44"/>
        <v>0</v>
      </c>
      <c r="W27" s="149">
        <f t="shared" si="44"/>
        <v>0</v>
      </c>
      <c r="X27" s="149">
        <f t="shared" si="44"/>
        <v>0</v>
      </c>
      <c r="Y27" s="149">
        <f t="shared" si="44"/>
        <v>0</v>
      </c>
      <c r="Z27" s="149">
        <f t="shared" si="44"/>
        <v>0</v>
      </c>
      <c r="AA27" s="149">
        <f t="shared" si="44"/>
        <v>0</v>
      </c>
      <c r="AB27" s="149">
        <f t="shared" si="22"/>
        <v>0</v>
      </c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</row>
    <row r="28" ht="15.75" hidden="1" customHeight="1">
      <c r="A28" s="145"/>
      <c r="B28" s="145"/>
      <c r="C28" s="155" t="s">
        <v>181</v>
      </c>
      <c r="D28" s="149"/>
      <c r="E28" s="149"/>
      <c r="F28" s="160"/>
      <c r="G28" s="159"/>
      <c r="H28" s="149">
        <f t="shared" si="18"/>
        <v>0</v>
      </c>
      <c r="I28" s="149"/>
      <c r="J28" s="149">
        <f t="shared" ref="J28:M28" si="45">I28*1.03</f>
        <v>0</v>
      </c>
      <c r="K28" s="149">
        <f t="shared" si="45"/>
        <v>0</v>
      </c>
      <c r="L28" s="149">
        <f t="shared" si="45"/>
        <v>0</v>
      </c>
      <c r="M28" s="149">
        <f t="shared" si="45"/>
        <v>0</v>
      </c>
      <c r="N28" s="145"/>
      <c r="O28" s="167"/>
      <c r="P28" s="149">
        <f t="shared" si="20"/>
        <v>0</v>
      </c>
      <c r="Q28" s="149">
        <f t="shared" ref="Q28:AA28" si="46">P28</f>
        <v>0</v>
      </c>
      <c r="R28" s="149">
        <f t="shared" si="46"/>
        <v>0</v>
      </c>
      <c r="S28" s="149">
        <f t="shared" si="46"/>
        <v>0</v>
      </c>
      <c r="T28" s="149">
        <f t="shared" si="46"/>
        <v>0</v>
      </c>
      <c r="U28" s="149">
        <f t="shared" si="46"/>
        <v>0</v>
      </c>
      <c r="V28" s="149">
        <f t="shared" si="46"/>
        <v>0</v>
      </c>
      <c r="W28" s="149">
        <f t="shared" si="46"/>
        <v>0</v>
      </c>
      <c r="X28" s="149">
        <f t="shared" si="46"/>
        <v>0</v>
      </c>
      <c r="Y28" s="149">
        <f t="shared" si="46"/>
        <v>0</v>
      </c>
      <c r="Z28" s="149">
        <f t="shared" si="46"/>
        <v>0</v>
      </c>
      <c r="AA28" s="149">
        <f t="shared" si="46"/>
        <v>0</v>
      </c>
      <c r="AB28" s="149">
        <f t="shared" si="22"/>
        <v>0</v>
      </c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</row>
    <row r="29" ht="15.75" customHeight="1">
      <c r="A29" s="145"/>
      <c r="B29" s="145"/>
      <c r="C29" s="155" t="s">
        <v>182</v>
      </c>
      <c r="D29" s="157"/>
      <c r="E29" s="156"/>
      <c r="F29" s="158">
        <v>13411.22</v>
      </c>
      <c r="G29" s="159"/>
      <c r="H29" s="149">
        <f t="shared" si="18"/>
        <v>0</v>
      </c>
      <c r="I29" s="161">
        <v>12700.0</v>
      </c>
      <c r="J29" s="149">
        <f t="shared" ref="J29:M29" si="47">I29*1.03</f>
        <v>13081</v>
      </c>
      <c r="K29" s="149">
        <f t="shared" si="47"/>
        <v>13473.43</v>
      </c>
      <c r="L29" s="149">
        <f t="shared" si="47"/>
        <v>13877.6329</v>
      </c>
      <c r="M29" s="149">
        <f t="shared" si="47"/>
        <v>14293.96189</v>
      </c>
      <c r="N29" s="145"/>
      <c r="O29" s="161">
        <v>12700.0</v>
      </c>
      <c r="P29" s="149">
        <f t="shared" si="20"/>
        <v>1058.333333</v>
      </c>
      <c r="Q29" s="149">
        <f t="shared" ref="Q29:AA29" si="48">P29</f>
        <v>1058.333333</v>
      </c>
      <c r="R29" s="149">
        <f t="shared" si="48"/>
        <v>1058.333333</v>
      </c>
      <c r="S29" s="149">
        <f t="shared" si="48"/>
        <v>1058.333333</v>
      </c>
      <c r="T29" s="149">
        <f t="shared" si="48"/>
        <v>1058.333333</v>
      </c>
      <c r="U29" s="149">
        <f t="shared" si="48"/>
        <v>1058.333333</v>
      </c>
      <c r="V29" s="149">
        <f t="shared" si="48"/>
        <v>1058.333333</v>
      </c>
      <c r="W29" s="149">
        <f t="shared" si="48"/>
        <v>1058.333333</v>
      </c>
      <c r="X29" s="149">
        <f t="shared" si="48"/>
        <v>1058.333333</v>
      </c>
      <c r="Y29" s="149">
        <f t="shared" si="48"/>
        <v>1058.333333</v>
      </c>
      <c r="Z29" s="149">
        <f t="shared" si="48"/>
        <v>1058.333333</v>
      </c>
      <c r="AA29" s="149">
        <f t="shared" si="48"/>
        <v>1058.333333</v>
      </c>
      <c r="AB29" s="149">
        <f t="shared" si="22"/>
        <v>13081</v>
      </c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</row>
    <row r="30" ht="15.75" hidden="1" customHeight="1">
      <c r="A30" s="82"/>
      <c r="B30" s="82"/>
      <c r="C30" s="155" t="s">
        <v>183</v>
      </c>
      <c r="D30" s="149"/>
      <c r="E30" s="149"/>
      <c r="F30" s="160"/>
      <c r="G30" s="159"/>
      <c r="H30" s="149">
        <f t="shared" si="18"/>
        <v>0</v>
      </c>
      <c r="I30" s="149"/>
      <c r="J30" s="149">
        <f t="shared" ref="J30:M30" si="49">I30*1.03</f>
        <v>0</v>
      </c>
      <c r="K30" s="149">
        <f t="shared" si="49"/>
        <v>0</v>
      </c>
      <c r="L30" s="149">
        <f t="shared" si="49"/>
        <v>0</v>
      </c>
      <c r="M30" s="149">
        <f t="shared" si="49"/>
        <v>0</v>
      </c>
      <c r="N30" s="82"/>
      <c r="O30" s="167"/>
      <c r="P30" s="149">
        <f t="shared" si="20"/>
        <v>0</v>
      </c>
      <c r="Q30" s="149">
        <f t="shared" ref="Q30:AA30" si="50">P30</f>
        <v>0</v>
      </c>
      <c r="R30" s="149">
        <f t="shared" si="50"/>
        <v>0</v>
      </c>
      <c r="S30" s="149">
        <f t="shared" si="50"/>
        <v>0</v>
      </c>
      <c r="T30" s="149">
        <f t="shared" si="50"/>
        <v>0</v>
      </c>
      <c r="U30" s="149">
        <f t="shared" si="50"/>
        <v>0</v>
      </c>
      <c r="V30" s="149">
        <f t="shared" si="50"/>
        <v>0</v>
      </c>
      <c r="W30" s="149">
        <f t="shared" si="50"/>
        <v>0</v>
      </c>
      <c r="X30" s="149">
        <f t="shared" si="50"/>
        <v>0</v>
      </c>
      <c r="Y30" s="149">
        <f t="shared" si="50"/>
        <v>0</v>
      </c>
      <c r="Z30" s="149">
        <f t="shared" si="50"/>
        <v>0</v>
      </c>
      <c r="AA30" s="149">
        <f t="shared" si="50"/>
        <v>0</v>
      </c>
      <c r="AB30" s="149">
        <f t="shared" si="22"/>
        <v>0</v>
      </c>
      <c r="AC30" s="82"/>
      <c r="AD30" s="82"/>
      <c r="AE30" s="82"/>
      <c r="AF30" s="82"/>
      <c r="AG30" s="82"/>
      <c r="AH30" s="82"/>
      <c r="AI30" s="82"/>
      <c r="AJ30" s="82"/>
      <c r="AK30" s="82"/>
      <c r="AL30" s="82"/>
    </row>
    <row r="31" ht="15.75" hidden="1" customHeight="1">
      <c r="A31" s="145"/>
      <c r="B31" s="145"/>
      <c r="C31" s="155" t="s">
        <v>184</v>
      </c>
      <c r="D31" s="149"/>
      <c r="E31" s="149"/>
      <c r="F31" s="160"/>
      <c r="G31" s="159"/>
      <c r="H31" s="149">
        <f t="shared" si="18"/>
        <v>0</v>
      </c>
      <c r="I31" s="149"/>
      <c r="J31" s="149">
        <f t="shared" ref="J31:M31" si="51">I31*1.03</f>
        <v>0</v>
      </c>
      <c r="K31" s="149">
        <f t="shared" si="51"/>
        <v>0</v>
      </c>
      <c r="L31" s="149">
        <f t="shared" si="51"/>
        <v>0</v>
      </c>
      <c r="M31" s="149">
        <f t="shared" si="51"/>
        <v>0</v>
      </c>
      <c r="N31" s="145"/>
      <c r="O31" s="167"/>
      <c r="P31" s="149">
        <f t="shared" si="20"/>
        <v>0</v>
      </c>
      <c r="Q31" s="149">
        <f t="shared" ref="Q31:AA31" si="52">P31</f>
        <v>0</v>
      </c>
      <c r="R31" s="149">
        <f t="shared" si="52"/>
        <v>0</v>
      </c>
      <c r="S31" s="149">
        <f t="shared" si="52"/>
        <v>0</v>
      </c>
      <c r="T31" s="149">
        <f t="shared" si="52"/>
        <v>0</v>
      </c>
      <c r="U31" s="149">
        <f t="shared" si="52"/>
        <v>0</v>
      </c>
      <c r="V31" s="149">
        <f t="shared" si="52"/>
        <v>0</v>
      </c>
      <c r="W31" s="149">
        <f t="shared" si="52"/>
        <v>0</v>
      </c>
      <c r="X31" s="149">
        <f t="shared" si="52"/>
        <v>0</v>
      </c>
      <c r="Y31" s="149">
        <f t="shared" si="52"/>
        <v>0</v>
      </c>
      <c r="Z31" s="149">
        <f t="shared" si="52"/>
        <v>0</v>
      </c>
      <c r="AA31" s="149">
        <f t="shared" si="52"/>
        <v>0</v>
      </c>
      <c r="AB31" s="149">
        <f t="shared" si="22"/>
        <v>0</v>
      </c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</row>
    <row r="32" ht="15.75" hidden="1" customHeight="1">
      <c r="A32" s="145"/>
      <c r="B32" s="145"/>
      <c r="C32" s="155" t="s">
        <v>185</v>
      </c>
      <c r="D32" s="157"/>
      <c r="E32" s="168"/>
      <c r="F32" s="160"/>
      <c r="G32" s="159"/>
      <c r="H32" s="149">
        <f t="shared" si="18"/>
        <v>0</v>
      </c>
      <c r="I32" s="149"/>
      <c r="J32" s="149">
        <f t="shared" ref="J32:M32" si="53">I32*1.03</f>
        <v>0</v>
      </c>
      <c r="K32" s="149">
        <f t="shared" si="53"/>
        <v>0</v>
      </c>
      <c r="L32" s="149">
        <f t="shared" si="53"/>
        <v>0</v>
      </c>
      <c r="M32" s="149">
        <f t="shared" si="53"/>
        <v>0</v>
      </c>
      <c r="N32" s="145"/>
      <c r="O32" s="167"/>
      <c r="P32" s="149">
        <f t="shared" si="20"/>
        <v>0</v>
      </c>
      <c r="Q32" s="149">
        <f t="shared" ref="Q32:AA32" si="54">P32</f>
        <v>0</v>
      </c>
      <c r="R32" s="149">
        <f t="shared" si="54"/>
        <v>0</v>
      </c>
      <c r="S32" s="149">
        <f t="shared" si="54"/>
        <v>0</v>
      </c>
      <c r="T32" s="149">
        <f t="shared" si="54"/>
        <v>0</v>
      </c>
      <c r="U32" s="149">
        <f t="shared" si="54"/>
        <v>0</v>
      </c>
      <c r="V32" s="149">
        <f t="shared" si="54"/>
        <v>0</v>
      </c>
      <c r="W32" s="149">
        <f t="shared" si="54"/>
        <v>0</v>
      </c>
      <c r="X32" s="149">
        <f t="shared" si="54"/>
        <v>0</v>
      </c>
      <c r="Y32" s="149">
        <f t="shared" si="54"/>
        <v>0</v>
      </c>
      <c r="Z32" s="149">
        <f t="shared" si="54"/>
        <v>0</v>
      </c>
      <c r="AA32" s="149">
        <f t="shared" si="54"/>
        <v>0</v>
      </c>
      <c r="AB32" s="149">
        <f t="shared" si="22"/>
        <v>0</v>
      </c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</row>
    <row r="33" ht="15.75" customHeight="1">
      <c r="A33" s="145"/>
      <c r="B33" s="145"/>
      <c r="C33" s="155" t="s">
        <v>186</v>
      </c>
      <c r="D33" s="157"/>
      <c r="E33" s="157"/>
      <c r="F33" s="158">
        <v>1558.37</v>
      </c>
      <c r="G33" s="159"/>
      <c r="H33" s="149">
        <f t="shared" si="18"/>
        <v>0</v>
      </c>
      <c r="I33" s="150">
        <v>3500.0</v>
      </c>
      <c r="J33" s="149">
        <f t="shared" ref="J33:M33" si="55">I33*1.03</f>
        <v>3605</v>
      </c>
      <c r="K33" s="149">
        <f t="shared" si="55"/>
        <v>3713.15</v>
      </c>
      <c r="L33" s="149">
        <f t="shared" si="55"/>
        <v>3824.5445</v>
      </c>
      <c r="M33" s="149">
        <f t="shared" si="55"/>
        <v>3939.280835</v>
      </c>
      <c r="N33" s="145"/>
      <c r="O33" s="161">
        <v>3500.0</v>
      </c>
      <c r="P33" s="149">
        <f t="shared" si="20"/>
        <v>291.6666667</v>
      </c>
      <c r="Q33" s="149">
        <f t="shared" ref="Q33:AA33" si="56">P33</f>
        <v>291.6666667</v>
      </c>
      <c r="R33" s="149">
        <f t="shared" si="56"/>
        <v>291.6666667</v>
      </c>
      <c r="S33" s="149">
        <f t="shared" si="56"/>
        <v>291.6666667</v>
      </c>
      <c r="T33" s="149">
        <f t="shared" si="56"/>
        <v>291.6666667</v>
      </c>
      <c r="U33" s="149">
        <f t="shared" si="56"/>
        <v>291.6666667</v>
      </c>
      <c r="V33" s="149">
        <f t="shared" si="56"/>
        <v>291.6666667</v>
      </c>
      <c r="W33" s="149">
        <f t="shared" si="56"/>
        <v>291.6666667</v>
      </c>
      <c r="X33" s="149">
        <f t="shared" si="56"/>
        <v>291.6666667</v>
      </c>
      <c r="Y33" s="149">
        <f t="shared" si="56"/>
        <v>291.6666667</v>
      </c>
      <c r="Z33" s="149">
        <f t="shared" si="56"/>
        <v>291.6666667</v>
      </c>
      <c r="AA33" s="149">
        <f t="shared" si="56"/>
        <v>291.6666667</v>
      </c>
      <c r="AB33" s="149">
        <f t="shared" si="22"/>
        <v>3605</v>
      </c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</row>
    <row r="34" ht="15.75" customHeight="1">
      <c r="A34" s="145"/>
      <c r="B34" s="145"/>
      <c r="C34" s="155" t="s">
        <v>187</v>
      </c>
      <c r="D34" s="168"/>
      <c r="E34" s="157"/>
      <c r="F34" s="158">
        <v>7642.79</v>
      </c>
      <c r="G34" s="159"/>
      <c r="H34" s="149">
        <f t="shared" si="18"/>
        <v>0</v>
      </c>
      <c r="I34" s="166">
        <v>1500.0</v>
      </c>
      <c r="J34" s="149">
        <f t="shared" ref="J34:M34" si="57">I34*1.03</f>
        <v>1545</v>
      </c>
      <c r="K34" s="149">
        <f t="shared" si="57"/>
        <v>1591.35</v>
      </c>
      <c r="L34" s="149">
        <f t="shared" si="57"/>
        <v>1639.0905</v>
      </c>
      <c r="M34" s="149">
        <f t="shared" si="57"/>
        <v>1688.263215</v>
      </c>
      <c r="N34" s="145"/>
      <c r="O34" s="161">
        <v>1500.0</v>
      </c>
      <c r="P34" s="149">
        <f t="shared" si="20"/>
        <v>125</v>
      </c>
      <c r="Q34" s="149">
        <f t="shared" ref="Q34:AA34" si="58">P34</f>
        <v>125</v>
      </c>
      <c r="R34" s="149">
        <f t="shared" si="58"/>
        <v>125</v>
      </c>
      <c r="S34" s="149">
        <f t="shared" si="58"/>
        <v>125</v>
      </c>
      <c r="T34" s="149">
        <f t="shared" si="58"/>
        <v>125</v>
      </c>
      <c r="U34" s="149">
        <f t="shared" si="58"/>
        <v>125</v>
      </c>
      <c r="V34" s="149">
        <f t="shared" si="58"/>
        <v>125</v>
      </c>
      <c r="W34" s="149">
        <f t="shared" si="58"/>
        <v>125</v>
      </c>
      <c r="X34" s="149">
        <f t="shared" si="58"/>
        <v>125</v>
      </c>
      <c r="Y34" s="149">
        <f t="shared" si="58"/>
        <v>125</v>
      </c>
      <c r="Z34" s="149">
        <f t="shared" si="58"/>
        <v>125</v>
      </c>
      <c r="AA34" s="149">
        <f t="shared" si="58"/>
        <v>125</v>
      </c>
      <c r="AB34" s="149">
        <f t="shared" si="22"/>
        <v>1545</v>
      </c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</row>
    <row r="35" ht="15.75" hidden="1" customHeight="1">
      <c r="A35" s="145"/>
      <c r="B35" s="145"/>
      <c r="C35" s="155" t="s">
        <v>188</v>
      </c>
      <c r="D35" s="157"/>
      <c r="E35" s="157"/>
      <c r="F35" s="158">
        <v>15182.56</v>
      </c>
      <c r="G35" s="159"/>
      <c r="H35" s="149">
        <f t="shared" si="18"/>
        <v>0</v>
      </c>
      <c r="I35" s="149"/>
      <c r="J35" s="149">
        <f t="shared" ref="J35:M35" si="59">I35*1.03</f>
        <v>0</v>
      </c>
      <c r="K35" s="149">
        <f t="shared" si="59"/>
        <v>0</v>
      </c>
      <c r="L35" s="149">
        <f t="shared" si="59"/>
        <v>0</v>
      </c>
      <c r="M35" s="149">
        <f t="shared" si="59"/>
        <v>0</v>
      </c>
      <c r="N35" s="145"/>
      <c r="O35" s="167"/>
      <c r="P35" s="149">
        <f t="shared" si="20"/>
        <v>0</v>
      </c>
      <c r="Q35" s="149">
        <f t="shared" ref="Q35:AA35" si="60">P35</f>
        <v>0</v>
      </c>
      <c r="R35" s="149">
        <f t="shared" si="60"/>
        <v>0</v>
      </c>
      <c r="S35" s="149">
        <f t="shared" si="60"/>
        <v>0</v>
      </c>
      <c r="T35" s="149">
        <f t="shared" si="60"/>
        <v>0</v>
      </c>
      <c r="U35" s="149">
        <f t="shared" si="60"/>
        <v>0</v>
      </c>
      <c r="V35" s="149">
        <f t="shared" si="60"/>
        <v>0</v>
      </c>
      <c r="W35" s="149">
        <f t="shared" si="60"/>
        <v>0</v>
      </c>
      <c r="X35" s="149">
        <f t="shared" si="60"/>
        <v>0</v>
      </c>
      <c r="Y35" s="149">
        <f t="shared" si="60"/>
        <v>0</v>
      </c>
      <c r="Z35" s="149">
        <f t="shared" si="60"/>
        <v>0</v>
      </c>
      <c r="AA35" s="149">
        <f t="shared" si="60"/>
        <v>0</v>
      </c>
      <c r="AB35" s="149">
        <f t="shared" si="22"/>
        <v>0</v>
      </c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</row>
    <row r="36" ht="15.75" hidden="1" customHeight="1">
      <c r="A36" s="145"/>
      <c r="B36" s="145"/>
      <c r="C36" s="155" t="s">
        <v>189</v>
      </c>
      <c r="D36" s="149"/>
      <c r="E36" s="149"/>
      <c r="F36" s="160"/>
      <c r="G36" s="159"/>
      <c r="H36" s="149">
        <f t="shared" si="18"/>
        <v>0</v>
      </c>
      <c r="I36" s="149"/>
      <c r="J36" s="149">
        <f t="shared" ref="J36:M36" si="61">I36*1.03</f>
        <v>0</v>
      </c>
      <c r="K36" s="149">
        <f t="shared" si="61"/>
        <v>0</v>
      </c>
      <c r="L36" s="149">
        <f t="shared" si="61"/>
        <v>0</v>
      </c>
      <c r="M36" s="149">
        <f t="shared" si="61"/>
        <v>0</v>
      </c>
      <c r="N36" s="145"/>
      <c r="O36" s="167"/>
      <c r="P36" s="149">
        <f t="shared" si="20"/>
        <v>0</v>
      </c>
      <c r="Q36" s="149">
        <f t="shared" ref="Q36:AA36" si="62">P36</f>
        <v>0</v>
      </c>
      <c r="R36" s="149">
        <f t="shared" si="62"/>
        <v>0</v>
      </c>
      <c r="S36" s="149">
        <f t="shared" si="62"/>
        <v>0</v>
      </c>
      <c r="T36" s="149">
        <f t="shared" si="62"/>
        <v>0</v>
      </c>
      <c r="U36" s="149">
        <f t="shared" si="62"/>
        <v>0</v>
      </c>
      <c r="V36" s="149">
        <f t="shared" si="62"/>
        <v>0</v>
      </c>
      <c r="W36" s="149">
        <f t="shared" si="62"/>
        <v>0</v>
      </c>
      <c r="X36" s="149">
        <f t="shared" si="62"/>
        <v>0</v>
      </c>
      <c r="Y36" s="149">
        <f t="shared" si="62"/>
        <v>0</v>
      </c>
      <c r="Z36" s="149">
        <f t="shared" si="62"/>
        <v>0</v>
      </c>
      <c r="AA36" s="149">
        <f t="shared" si="62"/>
        <v>0</v>
      </c>
      <c r="AB36" s="149">
        <f t="shared" si="22"/>
        <v>0</v>
      </c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</row>
    <row r="37" ht="15.75" customHeight="1">
      <c r="A37" s="145"/>
      <c r="B37" s="145"/>
      <c r="C37" s="155" t="s">
        <v>190</v>
      </c>
      <c r="D37" s="157"/>
      <c r="E37" s="157"/>
      <c r="F37" s="158">
        <v>49947.72</v>
      </c>
      <c r="G37" s="159"/>
      <c r="H37" s="149">
        <f t="shared" si="18"/>
        <v>0</v>
      </c>
      <c r="I37" s="150">
        <v>55000.0</v>
      </c>
      <c r="J37" s="149">
        <f t="shared" ref="J37:M37" si="63">I37*1.03</f>
        <v>56650</v>
      </c>
      <c r="K37" s="149">
        <f t="shared" si="63"/>
        <v>58349.5</v>
      </c>
      <c r="L37" s="149">
        <f t="shared" si="63"/>
        <v>60099.985</v>
      </c>
      <c r="M37" s="149">
        <f t="shared" si="63"/>
        <v>61902.98455</v>
      </c>
      <c r="N37" s="145"/>
      <c r="O37" s="161">
        <v>55000.0</v>
      </c>
      <c r="P37" s="149">
        <f t="shared" si="20"/>
        <v>4583.333333</v>
      </c>
      <c r="Q37" s="149">
        <f t="shared" ref="Q37:AA37" si="64">P37</f>
        <v>4583.333333</v>
      </c>
      <c r="R37" s="149">
        <f t="shared" si="64"/>
        <v>4583.333333</v>
      </c>
      <c r="S37" s="149">
        <f t="shared" si="64"/>
        <v>4583.333333</v>
      </c>
      <c r="T37" s="149">
        <f t="shared" si="64"/>
        <v>4583.333333</v>
      </c>
      <c r="U37" s="149">
        <f t="shared" si="64"/>
        <v>4583.333333</v>
      </c>
      <c r="V37" s="149">
        <f t="shared" si="64"/>
        <v>4583.333333</v>
      </c>
      <c r="W37" s="149">
        <f t="shared" si="64"/>
        <v>4583.333333</v>
      </c>
      <c r="X37" s="149">
        <f t="shared" si="64"/>
        <v>4583.333333</v>
      </c>
      <c r="Y37" s="149">
        <f t="shared" si="64"/>
        <v>4583.333333</v>
      </c>
      <c r="Z37" s="149">
        <f t="shared" si="64"/>
        <v>4583.333333</v>
      </c>
      <c r="AA37" s="149">
        <f t="shared" si="64"/>
        <v>4583.333333</v>
      </c>
      <c r="AB37" s="149">
        <f t="shared" si="22"/>
        <v>56650</v>
      </c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</row>
    <row r="38" ht="15.75" customHeight="1">
      <c r="A38" s="145"/>
      <c r="B38" s="145"/>
      <c r="C38" s="155" t="s">
        <v>191</v>
      </c>
      <c r="D38" s="156"/>
      <c r="E38" s="157"/>
      <c r="F38" s="158">
        <v>26115.45</v>
      </c>
      <c r="G38" s="159"/>
      <c r="H38" s="149">
        <f t="shared" si="18"/>
        <v>0</v>
      </c>
      <c r="I38" s="150">
        <v>12400.0</v>
      </c>
      <c r="J38" s="149">
        <f t="shared" ref="J38:M38" si="65">I38*1.03</f>
        <v>12772</v>
      </c>
      <c r="K38" s="149">
        <f t="shared" si="65"/>
        <v>13155.16</v>
      </c>
      <c r="L38" s="149">
        <f t="shared" si="65"/>
        <v>13549.8148</v>
      </c>
      <c r="M38" s="149">
        <f t="shared" si="65"/>
        <v>13956.30924</v>
      </c>
      <c r="N38" s="145"/>
      <c r="O38" s="150">
        <v>12400.0</v>
      </c>
      <c r="P38" s="149">
        <f t="shared" si="20"/>
        <v>1033.333333</v>
      </c>
      <c r="Q38" s="149">
        <f t="shared" ref="Q38:AA38" si="66">P38</f>
        <v>1033.333333</v>
      </c>
      <c r="R38" s="149">
        <f t="shared" si="66"/>
        <v>1033.333333</v>
      </c>
      <c r="S38" s="149">
        <f t="shared" si="66"/>
        <v>1033.333333</v>
      </c>
      <c r="T38" s="149">
        <f t="shared" si="66"/>
        <v>1033.333333</v>
      </c>
      <c r="U38" s="149">
        <f t="shared" si="66"/>
        <v>1033.333333</v>
      </c>
      <c r="V38" s="149">
        <f t="shared" si="66"/>
        <v>1033.333333</v>
      </c>
      <c r="W38" s="149">
        <f t="shared" si="66"/>
        <v>1033.333333</v>
      </c>
      <c r="X38" s="149">
        <f t="shared" si="66"/>
        <v>1033.333333</v>
      </c>
      <c r="Y38" s="149">
        <f t="shared" si="66"/>
        <v>1033.333333</v>
      </c>
      <c r="Z38" s="149">
        <f t="shared" si="66"/>
        <v>1033.333333</v>
      </c>
      <c r="AA38" s="149">
        <f t="shared" si="66"/>
        <v>1033.333333</v>
      </c>
      <c r="AB38" s="149">
        <f t="shared" si="22"/>
        <v>12772</v>
      </c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</row>
    <row r="39" ht="15.75" customHeight="1">
      <c r="A39" s="145"/>
      <c r="B39" s="145"/>
      <c r="C39" s="155" t="s">
        <v>192</v>
      </c>
      <c r="D39" s="157"/>
      <c r="E39" s="157"/>
      <c r="F39" s="160"/>
      <c r="G39" s="159"/>
      <c r="H39" s="149">
        <f t="shared" si="18"/>
        <v>0</v>
      </c>
      <c r="I39" s="161">
        <v>750.0</v>
      </c>
      <c r="J39" s="149">
        <f t="shared" ref="J39:M39" si="67">I39*1.03</f>
        <v>772.5</v>
      </c>
      <c r="K39" s="149">
        <f t="shared" si="67"/>
        <v>795.675</v>
      </c>
      <c r="L39" s="149">
        <f t="shared" si="67"/>
        <v>819.54525</v>
      </c>
      <c r="M39" s="149">
        <f t="shared" si="67"/>
        <v>844.1316075</v>
      </c>
      <c r="N39" s="145"/>
      <c r="O39" s="161">
        <v>750.0</v>
      </c>
      <c r="P39" s="149">
        <f t="shared" si="20"/>
        <v>62.5</v>
      </c>
      <c r="Q39" s="149">
        <f t="shared" ref="Q39:AA39" si="68">P39</f>
        <v>62.5</v>
      </c>
      <c r="R39" s="149">
        <f t="shared" si="68"/>
        <v>62.5</v>
      </c>
      <c r="S39" s="149">
        <f t="shared" si="68"/>
        <v>62.5</v>
      </c>
      <c r="T39" s="149">
        <f t="shared" si="68"/>
        <v>62.5</v>
      </c>
      <c r="U39" s="149">
        <f t="shared" si="68"/>
        <v>62.5</v>
      </c>
      <c r="V39" s="149">
        <f t="shared" si="68"/>
        <v>62.5</v>
      </c>
      <c r="W39" s="149">
        <f t="shared" si="68"/>
        <v>62.5</v>
      </c>
      <c r="X39" s="149">
        <f t="shared" si="68"/>
        <v>62.5</v>
      </c>
      <c r="Y39" s="149">
        <f t="shared" si="68"/>
        <v>62.5</v>
      </c>
      <c r="Z39" s="149">
        <f t="shared" si="68"/>
        <v>62.5</v>
      </c>
      <c r="AA39" s="149">
        <f t="shared" si="68"/>
        <v>62.5</v>
      </c>
      <c r="AB39" s="149">
        <f t="shared" si="22"/>
        <v>772.5</v>
      </c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</row>
    <row r="40" ht="15.75" hidden="1" customHeight="1">
      <c r="A40" s="145"/>
      <c r="B40" s="145"/>
      <c r="C40" s="155" t="s">
        <v>193</v>
      </c>
      <c r="D40" s="157"/>
      <c r="E40" s="157"/>
      <c r="F40" s="160"/>
      <c r="G40" s="159"/>
      <c r="H40" s="149">
        <f t="shared" si="18"/>
        <v>0</v>
      </c>
      <c r="I40" s="167"/>
      <c r="J40" s="149">
        <f t="shared" ref="J40:M40" si="69">I40*1.03</f>
        <v>0</v>
      </c>
      <c r="K40" s="149">
        <f t="shared" si="69"/>
        <v>0</v>
      </c>
      <c r="L40" s="149">
        <f t="shared" si="69"/>
        <v>0</v>
      </c>
      <c r="M40" s="149">
        <f t="shared" si="69"/>
        <v>0</v>
      </c>
      <c r="N40" s="145"/>
      <c r="O40" s="167"/>
      <c r="P40" s="149">
        <f t="shared" si="20"/>
        <v>0</v>
      </c>
      <c r="Q40" s="149">
        <f t="shared" ref="Q40:AA40" si="70">P40</f>
        <v>0</v>
      </c>
      <c r="R40" s="149">
        <f t="shared" si="70"/>
        <v>0</v>
      </c>
      <c r="S40" s="149">
        <f t="shared" si="70"/>
        <v>0</v>
      </c>
      <c r="T40" s="149">
        <f t="shared" si="70"/>
        <v>0</v>
      </c>
      <c r="U40" s="149">
        <f t="shared" si="70"/>
        <v>0</v>
      </c>
      <c r="V40" s="149">
        <f t="shared" si="70"/>
        <v>0</v>
      </c>
      <c r="W40" s="149">
        <f t="shared" si="70"/>
        <v>0</v>
      </c>
      <c r="X40" s="149">
        <f t="shared" si="70"/>
        <v>0</v>
      </c>
      <c r="Y40" s="149">
        <f t="shared" si="70"/>
        <v>0</v>
      </c>
      <c r="Z40" s="149">
        <f t="shared" si="70"/>
        <v>0</v>
      </c>
      <c r="AA40" s="149">
        <f t="shared" si="70"/>
        <v>0</v>
      </c>
      <c r="AB40" s="149">
        <f t="shared" si="22"/>
        <v>0</v>
      </c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</row>
    <row r="41" ht="15.75" customHeight="1">
      <c r="A41" s="145"/>
      <c r="B41" s="145"/>
      <c r="C41" s="155" t="s">
        <v>194</v>
      </c>
      <c r="D41" s="149"/>
      <c r="E41" s="149"/>
      <c r="F41" s="158">
        <v>23048.34</v>
      </c>
      <c r="G41" s="159"/>
      <c r="H41" s="149">
        <f t="shared" si="18"/>
        <v>0</v>
      </c>
      <c r="I41" s="150">
        <v>19900.0</v>
      </c>
      <c r="J41" s="149">
        <f t="shared" ref="J41:M41" si="71">I41*1.03</f>
        <v>20497</v>
      </c>
      <c r="K41" s="149">
        <f t="shared" si="71"/>
        <v>21111.91</v>
      </c>
      <c r="L41" s="149">
        <f t="shared" si="71"/>
        <v>21745.2673</v>
      </c>
      <c r="M41" s="149">
        <f t="shared" si="71"/>
        <v>22397.62532</v>
      </c>
      <c r="N41" s="145"/>
      <c r="O41" s="150">
        <v>19900.0</v>
      </c>
      <c r="P41" s="149">
        <f t="shared" si="20"/>
        <v>1658.333333</v>
      </c>
      <c r="Q41" s="149">
        <f t="shared" ref="Q41:AA41" si="72">P41</f>
        <v>1658.333333</v>
      </c>
      <c r="R41" s="149">
        <f t="shared" si="72"/>
        <v>1658.333333</v>
      </c>
      <c r="S41" s="149">
        <f t="shared" si="72"/>
        <v>1658.333333</v>
      </c>
      <c r="T41" s="149">
        <f t="shared" si="72"/>
        <v>1658.333333</v>
      </c>
      <c r="U41" s="149">
        <f t="shared" si="72"/>
        <v>1658.333333</v>
      </c>
      <c r="V41" s="149">
        <f t="shared" si="72"/>
        <v>1658.333333</v>
      </c>
      <c r="W41" s="149">
        <f t="shared" si="72"/>
        <v>1658.333333</v>
      </c>
      <c r="X41" s="149">
        <f t="shared" si="72"/>
        <v>1658.333333</v>
      </c>
      <c r="Y41" s="149">
        <f t="shared" si="72"/>
        <v>1658.333333</v>
      </c>
      <c r="Z41" s="149">
        <f t="shared" si="72"/>
        <v>1658.333333</v>
      </c>
      <c r="AA41" s="149">
        <f t="shared" si="72"/>
        <v>1658.333333</v>
      </c>
      <c r="AB41" s="149">
        <f t="shared" si="22"/>
        <v>20497</v>
      </c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</row>
    <row r="42" ht="15.75" hidden="1" customHeight="1">
      <c r="A42" s="145"/>
      <c r="B42" s="145"/>
      <c r="C42" s="155" t="s">
        <v>195</v>
      </c>
      <c r="D42" s="149"/>
      <c r="E42" s="149"/>
      <c r="F42" s="160"/>
      <c r="G42" s="159"/>
      <c r="H42" s="149">
        <f t="shared" si="18"/>
        <v>0</v>
      </c>
      <c r="I42" s="167"/>
      <c r="J42" s="149"/>
      <c r="K42" s="149"/>
      <c r="L42" s="149"/>
      <c r="M42" s="149"/>
      <c r="N42" s="145"/>
      <c r="O42" s="167"/>
      <c r="P42" s="149">
        <f t="shared" si="20"/>
        <v>0</v>
      </c>
      <c r="Q42" s="149">
        <f t="shared" ref="Q42:AA42" si="73">P42</f>
        <v>0</v>
      </c>
      <c r="R42" s="149">
        <f t="shared" si="73"/>
        <v>0</v>
      </c>
      <c r="S42" s="149">
        <f t="shared" si="73"/>
        <v>0</v>
      </c>
      <c r="T42" s="149">
        <f t="shared" si="73"/>
        <v>0</v>
      </c>
      <c r="U42" s="149">
        <f t="shared" si="73"/>
        <v>0</v>
      </c>
      <c r="V42" s="149">
        <f t="shared" si="73"/>
        <v>0</v>
      </c>
      <c r="W42" s="149">
        <f t="shared" si="73"/>
        <v>0</v>
      </c>
      <c r="X42" s="149">
        <f t="shared" si="73"/>
        <v>0</v>
      </c>
      <c r="Y42" s="149">
        <f t="shared" si="73"/>
        <v>0</v>
      </c>
      <c r="Z42" s="149">
        <f t="shared" si="73"/>
        <v>0</v>
      </c>
      <c r="AA42" s="149">
        <f t="shared" si="73"/>
        <v>0</v>
      </c>
      <c r="AB42" s="149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</row>
    <row r="43" ht="15.75" hidden="1" customHeight="1">
      <c r="A43" s="145"/>
      <c r="B43" s="145"/>
      <c r="C43" s="155" t="s">
        <v>196</v>
      </c>
      <c r="D43" s="149"/>
      <c r="E43" s="149"/>
      <c r="F43" s="158">
        <f>3963.42+6</f>
        <v>3969.42</v>
      </c>
      <c r="G43" s="159"/>
      <c r="H43" s="149">
        <f t="shared" si="18"/>
        <v>0</v>
      </c>
      <c r="I43" s="149"/>
      <c r="J43" s="149">
        <f t="shared" ref="J43:M43" si="74">I43*1.03</f>
        <v>0</v>
      </c>
      <c r="K43" s="149">
        <f t="shared" si="74"/>
        <v>0</v>
      </c>
      <c r="L43" s="149">
        <f t="shared" si="74"/>
        <v>0</v>
      </c>
      <c r="M43" s="149">
        <f t="shared" si="74"/>
        <v>0</v>
      </c>
      <c r="N43" s="145"/>
      <c r="O43" s="149"/>
      <c r="P43" s="149">
        <f t="shared" si="20"/>
        <v>0</v>
      </c>
      <c r="Q43" s="149">
        <f t="shared" ref="Q43:AA43" si="75">P43</f>
        <v>0</v>
      </c>
      <c r="R43" s="149">
        <f t="shared" si="75"/>
        <v>0</v>
      </c>
      <c r="S43" s="149">
        <f t="shared" si="75"/>
        <v>0</v>
      </c>
      <c r="T43" s="149">
        <f t="shared" si="75"/>
        <v>0</v>
      </c>
      <c r="U43" s="149">
        <f t="shared" si="75"/>
        <v>0</v>
      </c>
      <c r="V43" s="149">
        <f t="shared" si="75"/>
        <v>0</v>
      </c>
      <c r="W43" s="149">
        <f t="shared" si="75"/>
        <v>0</v>
      </c>
      <c r="X43" s="149">
        <f t="shared" si="75"/>
        <v>0</v>
      </c>
      <c r="Y43" s="149">
        <f t="shared" si="75"/>
        <v>0</v>
      </c>
      <c r="Z43" s="149">
        <f t="shared" si="75"/>
        <v>0</v>
      </c>
      <c r="AA43" s="149">
        <f t="shared" si="75"/>
        <v>0</v>
      </c>
      <c r="AB43" s="149">
        <f t="shared" ref="AB43:AB45" si="78">O43*1.03</f>
        <v>0</v>
      </c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</row>
    <row r="44" ht="15.75" customHeight="1">
      <c r="A44" s="145"/>
      <c r="B44" s="145"/>
      <c r="C44" s="155" t="s">
        <v>197</v>
      </c>
      <c r="D44" s="157"/>
      <c r="E44" s="157"/>
      <c r="F44" s="158">
        <v>26719.1</v>
      </c>
      <c r="G44" s="159"/>
      <c r="H44" s="149">
        <f t="shared" si="18"/>
        <v>0</v>
      </c>
      <c r="I44" s="150">
        <v>27500.0</v>
      </c>
      <c r="J44" s="149">
        <f t="shared" ref="J44:M44" si="76">I44*1.03</f>
        <v>28325</v>
      </c>
      <c r="K44" s="149">
        <f t="shared" si="76"/>
        <v>29174.75</v>
      </c>
      <c r="L44" s="149">
        <f t="shared" si="76"/>
        <v>30049.9925</v>
      </c>
      <c r="M44" s="149">
        <f t="shared" si="76"/>
        <v>30951.49228</v>
      </c>
      <c r="N44" s="145"/>
      <c r="O44" s="150">
        <v>27500.0</v>
      </c>
      <c r="P44" s="149">
        <f t="shared" si="20"/>
        <v>2291.666667</v>
      </c>
      <c r="Q44" s="149">
        <f t="shared" ref="Q44:AA44" si="77">P44</f>
        <v>2291.666667</v>
      </c>
      <c r="R44" s="149">
        <f t="shared" si="77"/>
        <v>2291.666667</v>
      </c>
      <c r="S44" s="149">
        <f t="shared" si="77"/>
        <v>2291.666667</v>
      </c>
      <c r="T44" s="149">
        <f t="shared" si="77"/>
        <v>2291.666667</v>
      </c>
      <c r="U44" s="149">
        <f t="shared" si="77"/>
        <v>2291.666667</v>
      </c>
      <c r="V44" s="149">
        <f t="shared" si="77"/>
        <v>2291.666667</v>
      </c>
      <c r="W44" s="149">
        <f t="shared" si="77"/>
        <v>2291.666667</v>
      </c>
      <c r="X44" s="149">
        <f t="shared" si="77"/>
        <v>2291.666667</v>
      </c>
      <c r="Y44" s="149">
        <f t="shared" si="77"/>
        <v>2291.666667</v>
      </c>
      <c r="Z44" s="149">
        <f t="shared" si="77"/>
        <v>2291.666667</v>
      </c>
      <c r="AA44" s="149">
        <f t="shared" si="77"/>
        <v>2291.666667</v>
      </c>
      <c r="AB44" s="149">
        <f t="shared" si="78"/>
        <v>28325</v>
      </c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</row>
    <row r="45" ht="15.75" customHeight="1">
      <c r="A45" s="145"/>
      <c r="B45" s="145"/>
      <c r="C45" s="155" t="s">
        <v>198</v>
      </c>
      <c r="D45" s="157"/>
      <c r="E45" s="157"/>
      <c r="F45" s="158">
        <f>650+99.59+136.15+4416.31+246.61+238+3.31</f>
        <v>5789.97</v>
      </c>
      <c r="G45" s="159"/>
      <c r="H45" s="149">
        <f t="shared" si="18"/>
        <v>0</v>
      </c>
      <c r="I45" s="150">
        <v>1500.0</v>
      </c>
      <c r="J45" s="149">
        <f t="shared" ref="J45:M45" si="79">I45*1.03</f>
        <v>1545</v>
      </c>
      <c r="K45" s="149">
        <f t="shared" si="79"/>
        <v>1591.35</v>
      </c>
      <c r="L45" s="149">
        <f t="shared" si="79"/>
        <v>1639.0905</v>
      </c>
      <c r="M45" s="149">
        <f t="shared" si="79"/>
        <v>1688.263215</v>
      </c>
      <c r="N45" s="145"/>
      <c r="O45" s="150">
        <v>1500.0</v>
      </c>
      <c r="P45" s="149">
        <f t="shared" si="20"/>
        <v>125</v>
      </c>
      <c r="Q45" s="149">
        <f t="shared" ref="Q45:AA45" si="80">P45</f>
        <v>125</v>
      </c>
      <c r="R45" s="149">
        <f t="shared" si="80"/>
        <v>125</v>
      </c>
      <c r="S45" s="149">
        <f t="shared" si="80"/>
        <v>125</v>
      </c>
      <c r="T45" s="149">
        <f t="shared" si="80"/>
        <v>125</v>
      </c>
      <c r="U45" s="149">
        <f t="shared" si="80"/>
        <v>125</v>
      </c>
      <c r="V45" s="149">
        <f t="shared" si="80"/>
        <v>125</v>
      </c>
      <c r="W45" s="149">
        <f t="shared" si="80"/>
        <v>125</v>
      </c>
      <c r="X45" s="149">
        <f t="shared" si="80"/>
        <v>125</v>
      </c>
      <c r="Y45" s="149">
        <f t="shared" si="80"/>
        <v>125</v>
      </c>
      <c r="Z45" s="149">
        <f t="shared" si="80"/>
        <v>125</v>
      </c>
      <c r="AA45" s="149">
        <f t="shared" si="80"/>
        <v>125</v>
      </c>
      <c r="AB45" s="149">
        <f t="shared" si="78"/>
        <v>1545</v>
      </c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</row>
    <row r="46" ht="15.75" customHeight="1">
      <c r="A46" s="145"/>
      <c r="B46" s="145"/>
      <c r="C46" s="169" t="s">
        <v>199</v>
      </c>
      <c r="D46" s="170">
        <f t="shared" ref="D46:M46" si="81">SUM(D15:D45)</f>
        <v>0</v>
      </c>
      <c r="E46" s="170">
        <f t="shared" si="81"/>
        <v>0</v>
      </c>
      <c r="F46" s="170">
        <f t="shared" si="81"/>
        <v>706323.88</v>
      </c>
      <c r="G46" s="170">
        <f t="shared" si="81"/>
        <v>0</v>
      </c>
      <c r="H46" s="170">
        <f t="shared" si="81"/>
        <v>0</v>
      </c>
      <c r="I46" s="170">
        <f t="shared" si="81"/>
        <v>631670</v>
      </c>
      <c r="J46" s="170">
        <f t="shared" si="81"/>
        <v>650620.1</v>
      </c>
      <c r="K46" s="170">
        <f t="shared" si="81"/>
        <v>670138.703</v>
      </c>
      <c r="L46" s="170">
        <f t="shared" si="81"/>
        <v>690242.8641</v>
      </c>
      <c r="M46" s="170">
        <f t="shared" si="81"/>
        <v>710950.15</v>
      </c>
      <c r="N46" s="145">
        <f>I46/16</f>
        <v>39479.375</v>
      </c>
      <c r="O46" s="170">
        <f>SUM(O15:O45)</f>
        <v>631670</v>
      </c>
      <c r="P46" s="170">
        <f t="shared" si="20"/>
        <v>52639.16667</v>
      </c>
      <c r="Q46" s="170">
        <f t="shared" ref="Q46:AA46" si="82">P46</f>
        <v>52639.16667</v>
      </c>
      <c r="R46" s="170">
        <f t="shared" si="82"/>
        <v>52639.16667</v>
      </c>
      <c r="S46" s="170">
        <f t="shared" si="82"/>
        <v>52639.16667</v>
      </c>
      <c r="T46" s="170">
        <f t="shared" si="82"/>
        <v>52639.16667</v>
      </c>
      <c r="U46" s="170">
        <f t="shared" si="82"/>
        <v>52639.16667</v>
      </c>
      <c r="V46" s="170">
        <f t="shared" si="82"/>
        <v>52639.16667</v>
      </c>
      <c r="W46" s="170">
        <f t="shared" si="82"/>
        <v>52639.16667</v>
      </c>
      <c r="X46" s="170">
        <f t="shared" si="82"/>
        <v>52639.16667</v>
      </c>
      <c r="Y46" s="170">
        <f t="shared" si="82"/>
        <v>52639.16667</v>
      </c>
      <c r="Z46" s="170">
        <f t="shared" si="82"/>
        <v>52639.16667</v>
      </c>
      <c r="AA46" s="170">
        <f t="shared" si="82"/>
        <v>52639.16667</v>
      </c>
      <c r="AB46" s="170">
        <f>SUM(AB15:AB45)</f>
        <v>650620.1</v>
      </c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</row>
    <row r="47" ht="15.75" customHeight="1">
      <c r="A47" s="145"/>
      <c r="B47" s="145"/>
      <c r="C47" s="169" t="s">
        <v>26</v>
      </c>
      <c r="D47" s="170">
        <f t="shared" ref="D47:M47" si="83">D12-D46</f>
        <v>0</v>
      </c>
      <c r="E47" s="170">
        <f t="shared" si="83"/>
        <v>0</v>
      </c>
      <c r="F47" s="170">
        <f t="shared" si="83"/>
        <v>141881.34</v>
      </c>
      <c r="G47" s="170">
        <f t="shared" si="83"/>
        <v>0</v>
      </c>
      <c r="H47" s="170">
        <f t="shared" si="83"/>
        <v>0</v>
      </c>
      <c r="I47" s="170">
        <f t="shared" si="83"/>
        <v>244830</v>
      </c>
      <c r="J47" s="170">
        <f t="shared" si="83"/>
        <v>253799.9</v>
      </c>
      <c r="K47" s="170">
        <f t="shared" si="83"/>
        <v>263378.897</v>
      </c>
      <c r="L47" s="170">
        <f t="shared" si="83"/>
        <v>273653.2639</v>
      </c>
      <c r="M47" s="170">
        <f t="shared" si="83"/>
        <v>284725.4618</v>
      </c>
      <c r="N47" s="145">
        <f>N46/16</f>
        <v>2467.460938</v>
      </c>
      <c r="O47" s="170">
        <f>O12-O46</f>
        <v>264030</v>
      </c>
      <c r="P47" s="170">
        <f t="shared" si="20"/>
        <v>22002.5</v>
      </c>
      <c r="Q47" s="170">
        <f t="shared" ref="Q47:AA47" si="84">P47</f>
        <v>22002.5</v>
      </c>
      <c r="R47" s="170">
        <f t="shared" si="84"/>
        <v>22002.5</v>
      </c>
      <c r="S47" s="170">
        <f t="shared" si="84"/>
        <v>22002.5</v>
      </c>
      <c r="T47" s="170">
        <f t="shared" si="84"/>
        <v>22002.5</v>
      </c>
      <c r="U47" s="170">
        <f t="shared" si="84"/>
        <v>22002.5</v>
      </c>
      <c r="V47" s="170">
        <f t="shared" si="84"/>
        <v>22002.5</v>
      </c>
      <c r="W47" s="170">
        <f t="shared" si="84"/>
        <v>22002.5</v>
      </c>
      <c r="X47" s="170">
        <f t="shared" si="84"/>
        <v>22002.5</v>
      </c>
      <c r="Y47" s="170">
        <f t="shared" si="84"/>
        <v>22002.5</v>
      </c>
      <c r="Z47" s="170">
        <f t="shared" si="84"/>
        <v>22002.5</v>
      </c>
      <c r="AA47" s="170">
        <f t="shared" si="84"/>
        <v>22002.5</v>
      </c>
      <c r="AB47" s="170">
        <f>AB12-AB46</f>
        <v>273575.9</v>
      </c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</row>
    <row r="48" ht="5.25" customHeight="1">
      <c r="C48" s="171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</row>
    <row r="49" ht="19.5" customHeight="1">
      <c r="C49" s="172" t="s">
        <v>200</v>
      </c>
      <c r="D49" s="173">
        <f>D47/'Deal Overview'!$C$5</f>
        <v>0</v>
      </c>
      <c r="E49" s="173">
        <f>E47/'Deal Overview'!$C$5</f>
        <v>0</v>
      </c>
      <c r="F49" s="173">
        <f>F47/'Deal Overview'!$C$5</f>
        <v>0.06921040976</v>
      </c>
      <c r="G49" s="173">
        <f>G47/'Deal Overview'!$C$5</f>
        <v>0</v>
      </c>
      <c r="H49" s="173">
        <f>H47/'Deal Overview'!$C$5</f>
        <v>0</v>
      </c>
      <c r="I49" s="173">
        <f>I47/'Deal Overview'!$C$5</f>
        <v>0.1194292683</v>
      </c>
      <c r="J49" s="173">
        <f>J47/'Deal Overview'!$C$5</f>
        <v>0.1238048293</v>
      </c>
      <c r="K49" s="173">
        <f>K47/'Deal Overview'!$C$5</f>
        <v>0.1284775107</v>
      </c>
      <c r="L49" s="173">
        <f>L47/'Deal Overview'!$C$5</f>
        <v>0.133489397</v>
      </c>
      <c r="M49" s="173">
        <f>M47/'Deal Overview'!$C$5</f>
        <v>0.1388904692</v>
      </c>
      <c r="O49" s="173">
        <f>O47/'Deal Overview'!$C$5</f>
        <v>0.128795122</v>
      </c>
      <c r="P49" s="173"/>
      <c r="Q49" s="173"/>
      <c r="R49" s="173"/>
      <c r="S49" s="173"/>
      <c r="T49" s="173"/>
      <c r="U49" s="173"/>
      <c r="V49" s="173"/>
      <c r="W49" s="173"/>
      <c r="X49" s="173"/>
      <c r="Y49" s="173"/>
      <c r="Z49" s="173"/>
      <c r="AA49" s="173"/>
      <c r="AB49" s="173">
        <f>AB47/'Deal Overview'!$C$5</f>
        <v>0.1334516585</v>
      </c>
    </row>
    <row r="50" ht="18.0" customHeight="1">
      <c r="A50" s="145"/>
      <c r="B50" s="145"/>
      <c r="C50" s="174" t="s">
        <v>201</v>
      </c>
      <c r="D50" s="173" t="str">
        <f t="shared" ref="D50:M50" si="85">D46/D12</f>
        <v>#DIV/0!</v>
      </c>
      <c r="E50" s="173" t="str">
        <f t="shared" si="85"/>
        <v>#DIV/0!</v>
      </c>
      <c r="F50" s="173">
        <f t="shared" si="85"/>
        <v>0.8327275798</v>
      </c>
      <c r="G50" s="173" t="str">
        <f t="shared" si="85"/>
        <v>#DIV/0!</v>
      </c>
      <c r="H50" s="173" t="str">
        <f t="shared" si="85"/>
        <v>#DIV/0!</v>
      </c>
      <c r="I50" s="173">
        <f t="shared" si="85"/>
        <v>0.7206731318</v>
      </c>
      <c r="J50" s="173">
        <f t="shared" si="85"/>
        <v>0.7193782756</v>
      </c>
      <c r="K50" s="173">
        <f t="shared" si="85"/>
        <v>0.7178640263</v>
      </c>
      <c r="L50" s="173">
        <f t="shared" si="85"/>
        <v>0.7160967287</v>
      </c>
      <c r="M50" s="173">
        <f t="shared" si="85"/>
        <v>0.7140379272</v>
      </c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  <c r="AA50" s="145"/>
      <c r="AB50" s="145"/>
      <c r="AC50" s="145"/>
      <c r="AD50" s="145"/>
      <c r="AE50" s="145"/>
      <c r="AF50" s="145"/>
      <c r="AG50" s="145"/>
      <c r="AH50" s="145"/>
      <c r="AI50" s="145"/>
      <c r="AJ50" s="145"/>
      <c r="AK50" s="145"/>
      <c r="AL50" s="145"/>
    </row>
    <row r="51" ht="18.0" customHeight="1">
      <c r="A51" s="145"/>
      <c r="B51" s="145"/>
      <c r="C51" s="175" t="s">
        <v>202</v>
      </c>
      <c r="D51" s="149"/>
      <c r="E51" s="149"/>
      <c r="F51" s="149"/>
      <c r="G51" s="149"/>
      <c r="H51" s="149"/>
      <c r="I51" s="176">
        <f>I12*0.01</f>
        <v>8765</v>
      </c>
      <c r="J51" s="176">
        <f t="shared" ref="J51:M51" si="86">I51</f>
        <v>8765</v>
      </c>
      <c r="K51" s="176">
        <f t="shared" si="86"/>
        <v>8765</v>
      </c>
      <c r="L51" s="176">
        <f t="shared" si="86"/>
        <v>8765</v>
      </c>
      <c r="M51" s="176">
        <f t="shared" si="86"/>
        <v>8765</v>
      </c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  <c r="AA51" s="145"/>
      <c r="AB51" s="145"/>
      <c r="AC51" s="145"/>
      <c r="AD51" s="145"/>
      <c r="AE51" s="145"/>
      <c r="AF51" s="145"/>
      <c r="AG51" s="145"/>
      <c r="AH51" s="145"/>
      <c r="AI51" s="145"/>
      <c r="AJ51" s="145"/>
      <c r="AK51" s="145"/>
      <c r="AL51" s="145"/>
    </row>
    <row r="52" ht="15.75" customHeight="1">
      <c r="C52" s="138" t="s">
        <v>203</v>
      </c>
      <c r="D52" s="177"/>
      <c r="E52" s="177"/>
      <c r="F52" s="177"/>
      <c r="G52" s="177"/>
      <c r="H52" s="177"/>
      <c r="I52" s="178">
        <f>'Sources and Uses'!J9</f>
        <v>132796.3813</v>
      </c>
      <c r="J52" s="179">
        <f t="shared" ref="J52:M52" si="87">I52</f>
        <v>132796.3813</v>
      </c>
      <c r="K52" s="179">
        <f t="shared" si="87"/>
        <v>132796.3813</v>
      </c>
      <c r="L52" s="179">
        <f t="shared" si="87"/>
        <v>132796.3813</v>
      </c>
      <c r="M52" s="180">
        <f t="shared" si="87"/>
        <v>132796.3813</v>
      </c>
    </row>
    <row r="53" ht="15.75" customHeight="1">
      <c r="C53" s="145" t="s">
        <v>204</v>
      </c>
      <c r="I53" s="181">
        <f t="shared" ref="I53:M53" si="88">I12*0.01</f>
        <v>8765</v>
      </c>
      <c r="J53" s="182">
        <f t="shared" si="88"/>
        <v>9044.2</v>
      </c>
      <c r="K53" s="182">
        <f t="shared" si="88"/>
        <v>9335.176</v>
      </c>
      <c r="L53" s="182">
        <f t="shared" si="88"/>
        <v>9638.96128</v>
      </c>
      <c r="M53" s="183">
        <f t="shared" si="88"/>
        <v>9956.756118</v>
      </c>
    </row>
    <row r="54" ht="15.75" customHeight="1">
      <c r="C54" s="145" t="s">
        <v>180</v>
      </c>
      <c r="H54" s="184">
        <v>0.04</v>
      </c>
      <c r="I54" s="181">
        <f t="shared" ref="I54:M54" si="89">I12*$H$54</f>
        <v>35060</v>
      </c>
      <c r="J54" s="182">
        <f t="shared" si="89"/>
        <v>36176.8</v>
      </c>
      <c r="K54" s="182">
        <f t="shared" si="89"/>
        <v>37340.704</v>
      </c>
      <c r="L54" s="182">
        <f t="shared" si="89"/>
        <v>38555.84512</v>
      </c>
      <c r="M54" s="183">
        <f t="shared" si="89"/>
        <v>39827.02447</v>
      </c>
    </row>
    <row r="55" ht="15.75" customHeight="1">
      <c r="C55" s="145" t="s">
        <v>205</v>
      </c>
      <c r="I55" s="181">
        <f t="shared" ref="I55:M55" si="90">I47-I51-I52-I53-I54</f>
        <v>59443.61871</v>
      </c>
      <c r="J55" s="182">
        <f t="shared" si="90"/>
        <v>67017.51871</v>
      </c>
      <c r="K55" s="182">
        <f t="shared" si="90"/>
        <v>75141.63571</v>
      </c>
      <c r="L55" s="182">
        <f t="shared" si="90"/>
        <v>83897.07622</v>
      </c>
      <c r="M55" s="183">
        <f t="shared" si="90"/>
        <v>93380.29995</v>
      </c>
    </row>
    <row r="56" ht="15.75" customHeight="1">
      <c r="C56" s="145" t="s">
        <v>206</v>
      </c>
      <c r="D56" s="185">
        <f>D55/'Deal Overview'!$C$8</f>
        <v>0</v>
      </c>
      <c r="E56" s="185">
        <f>E55/'Deal Overview'!$C$8</f>
        <v>0</v>
      </c>
      <c r="F56" s="185">
        <f>F55/'Deal Overview'!$C$8</f>
        <v>0</v>
      </c>
      <c r="G56" s="185">
        <f>G55/'Deal Overview'!$C$8</f>
        <v>0</v>
      </c>
      <c r="H56" s="185">
        <f>H55/'Deal Overview'!$C$8</f>
        <v>0</v>
      </c>
      <c r="I56" s="186">
        <f>I55/'Deal Overview'!$C$8</f>
        <v>0.100683636</v>
      </c>
      <c r="J56" s="187">
        <f>J55/'Deal Overview'!$C$8</f>
        <v>0.1135120574</v>
      </c>
      <c r="K56" s="187">
        <f>K55/'Deal Overview'!$C$8</f>
        <v>0.1272724182</v>
      </c>
      <c r="L56" s="187">
        <f>L55/'Deal Overview'!$C$8</f>
        <v>0.1421020939</v>
      </c>
      <c r="M56" s="188">
        <f>M55/'Deal Overview'!$C$8</f>
        <v>0.1581644647</v>
      </c>
      <c r="O56" s="109">
        <f>I51+I53+I54</f>
        <v>52590</v>
      </c>
    </row>
    <row r="57" ht="15.75" customHeight="1">
      <c r="C57" s="94" t="s">
        <v>60</v>
      </c>
      <c r="I57" s="189">
        <f>'Sources and Uses'!M8</f>
        <v>-27022.23944</v>
      </c>
      <c r="J57" s="189">
        <f>'Sources and Uses'!N8</f>
        <v>-28835.06824</v>
      </c>
      <c r="K57" s="189">
        <f>'Sources and Uses'!O8</f>
        <v>-30769.6124</v>
      </c>
      <c r="L57" s="189">
        <f>'Sources and Uses'!P8</f>
        <v>-32834.05075</v>
      </c>
      <c r="M57" s="189">
        <f>'Sources and Uses'!Q8</f>
        <v>-35037.11219</v>
      </c>
    </row>
    <row r="58" ht="15.75" customHeight="1">
      <c r="C58" s="94" t="s">
        <v>77</v>
      </c>
      <c r="I58" s="190">
        <f>'Sources and Uses'!M9</f>
        <v>1612977.761</v>
      </c>
      <c r="J58" s="190">
        <f>'Sources and Uses'!N9</f>
        <v>1584142.692</v>
      </c>
      <c r="K58" s="190">
        <f>'Sources and Uses'!O9</f>
        <v>1553373.08</v>
      </c>
      <c r="L58" s="190">
        <f>'Sources and Uses'!P9</f>
        <v>1520539.029</v>
      </c>
      <c r="M58" s="190">
        <f>'Sources and Uses'!Q9</f>
        <v>1485501.917</v>
      </c>
    </row>
    <row r="59" ht="15.75" customHeight="1">
      <c r="C59" s="94" t="s">
        <v>207</v>
      </c>
      <c r="I59" s="189">
        <f t="shared" ref="I59:M59" si="91">I47/0.08</f>
        <v>3060375</v>
      </c>
      <c r="J59" s="189">
        <f t="shared" si="91"/>
        <v>3172498.75</v>
      </c>
      <c r="K59" s="189">
        <f t="shared" si="91"/>
        <v>3292236.213</v>
      </c>
      <c r="L59" s="189">
        <f t="shared" si="91"/>
        <v>3420665.799</v>
      </c>
      <c r="M59" s="189">
        <f t="shared" si="91"/>
        <v>3559068.273</v>
      </c>
    </row>
    <row r="60" ht="15.75" customHeight="1">
      <c r="C60" s="94" t="s">
        <v>208</v>
      </c>
      <c r="I60" s="189">
        <f t="shared" ref="I60:M60" si="92">I59*0.06</f>
        <v>183622.5</v>
      </c>
      <c r="J60" s="189">
        <f t="shared" si="92"/>
        <v>190349.925</v>
      </c>
      <c r="K60" s="189">
        <f t="shared" si="92"/>
        <v>197534.1728</v>
      </c>
      <c r="L60" s="189">
        <f t="shared" si="92"/>
        <v>205239.9479</v>
      </c>
      <c r="M60" s="189">
        <f t="shared" si="92"/>
        <v>213544.0964</v>
      </c>
    </row>
    <row r="61" ht="15.75" customHeight="1">
      <c r="C61" s="94" t="s">
        <v>209</v>
      </c>
      <c r="I61" s="189">
        <f t="shared" ref="I61:M61" si="93">I59-I60-I58</f>
        <v>1263774.739</v>
      </c>
      <c r="J61" s="189">
        <f t="shared" si="93"/>
        <v>1398006.133</v>
      </c>
      <c r="K61" s="189">
        <f t="shared" si="93"/>
        <v>1541328.96</v>
      </c>
      <c r="L61" s="189">
        <f t="shared" si="93"/>
        <v>1694886.822</v>
      </c>
      <c r="M61" s="189">
        <f t="shared" si="93"/>
        <v>1860022.259</v>
      </c>
    </row>
    <row r="62" ht="15.75" customHeight="1">
      <c r="C62" s="94" t="s">
        <v>210</v>
      </c>
      <c r="D62" s="191">
        <v>0.08</v>
      </c>
      <c r="E62" s="182"/>
      <c r="F62" s="182"/>
      <c r="I62" s="189">
        <f>'Sources and Uses'!$D$13*$D$62</f>
        <v>47232</v>
      </c>
      <c r="J62" s="189">
        <f>'Sources and Uses'!$D$13*$D$62</f>
        <v>47232</v>
      </c>
      <c r="K62" s="189">
        <f>'Sources and Uses'!$D$13*$D$62</f>
        <v>47232</v>
      </c>
      <c r="L62" s="189">
        <f>'Sources and Uses'!$D$13*$D$62</f>
        <v>47232</v>
      </c>
      <c r="M62" s="189">
        <f>'Sources and Uses'!$D$13*$D$62</f>
        <v>47232</v>
      </c>
    </row>
    <row r="63" ht="15.75" customHeight="1">
      <c r="C63" s="94" t="s">
        <v>35</v>
      </c>
      <c r="D63" s="191">
        <v>0.5</v>
      </c>
      <c r="E63" s="182"/>
      <c r="F63" s="182"/>
      <c r="I63" s="189">
        <f t="shared" ref="I63:M63" si="94">if((I55-I62)&gt;0,(I55-I62)/2,0)</f>
        <v>6105.809355</v>
      </c>
      <c r="J63" s="189">
        <f t="shared" si="94"/>
        <v>9892.759355</v>
      </c>
      <c r="K63" s="189">
        <f t="shared" si="94"/>
        <v>13954.81785</v>
      </c>
      <c r="L63" s="189">
        <f t="shared" si="94"/>
        <v>18332.53811</v>
      </c>
      <c r="M63" s="189">
        <f t="shared" si="94"/>
        <v>23074.14997</v>
      </c>
    </row>
    <row r="64" ht="15.75" customHeight="1">
      <c r="C64" s="94" t="s">
        <v>211</v>
      </c>
      <c r="D64" s="182"/>
      <c r="E64" s="182"/>
      <c r="F64" s="182"/>
      <c r="I64" s="192">
        <f t="shared" ref="I64:M64" si="95">I55-I63</f>
        <v>53337.80935</v>
      </c>
      <c r="J64" s="192">
        <f t="shared" si="95"/>
        <v>57124.75935</v>
      </c>
      <c r="K64" s="192">
        <f t="shared" si="95"/>
        <v>61186.81785</v>
      </c>
      <c r="L64" s="192">
        <f t="shared" si="95"/>
        <v>65564.53811</v>
      </c>
      <c r="M64" s="192">
        <f t="shared" si="95"/>
        <v>70306.14997</v>
      </c>
    </row>
    <row r="65" ht="15.75" customHeight="1">
      <c r="C65" s="94" t="s">
        <v>212</v>
      </c>
      <c r="D65" s="182"/>
      <c r="E65" s="182"/>
      <c r="F65" s="182"/>
      <c r="I65" s="99">
        <f>I64/'Sources and Uses'!$D$13</f>
        <v>0.09034181801</v>
      </c>
      <c r="J65" s="99">
        <f>J64/'Sources and Uses'!$D$13</f>
        <v>0.09675602872</v>
      </c>
      <c r="K65" s="99">
        <f>K64/'Sources and Uses'!$D$13</f>
        <v>0.1036362091</v>
      </c>
      <c r="L65" s="99">
        <f>L64/'Sources and Uses'!$D$13</f>
        <v>0.1110510469</v>
      </c>
      <c r="M65" s="99">
        <f>M64/'Sources and Uses'!$D$13</f>
        <v>0.1190822323</v>
      </c>
    </row>
    <row r="66" ht="15.75" customHeight="1">
      <c r="D66" s="182"/>
      <c r="E66" s="182"/>
      <c r="F66" s="182"/>
      <c r="O66" s="94"/>
    </row>
    <row r="67" ht="15.75" customHeight="1">
      <c r="C67" s="94" t="s">
        <v>213</v>
      </c>
      <c r="D67" s="182"/>
      <c r="E67" s="182"/>
      <c r="F67" s="182"/>
      <c r="O67" s="94"/>
    </row>
    <row r="68" ht="15.75" customHeight="1">
      <c r="C68" s="94" t="s">
        <v>214</v>
      </c>
      <c r="D68" s="182"/>
      <c r="E68" s="182"/>
      <c r="F68" s="182"/>
      <c r="I68" s="189">
        <f t="shared" ref="I68:M68" si="96">I63</f>
        <v>6105.809355</v>
      </c>
      <c r="J68" s="189">
        <f t="shared" si="96"/>
        <v>9892.759355</v>
      </c>
      <c r="K68" s="189">
        <f t="shared" si="96"/>
        <v>13954.81785</v>
      </c>
      <c r="L68" s="189">
        <f t="shared" si="96"/>
        <v>18332.53811</v>
      </c>
      <c r="M68" s="189">
        <f t="shared" si="96"/>
        <v>23074.14997</v>
      </c>
      <c r="O68" s="94"/>
    </row>
    <row r="69" ht="15.75" customHeight="1">
      <c r="C69" s="94" t="s">
        <v>215</v>
      </c>
      <c r="D69" s="182"/>
      <c r="E69" s="182"/>
      <c r="F69" s="182"/>
      <c r="M69" s="189">
        <f>M59*0.03</f>
        <v>106772.0482</v>
      </c>
      <c r="O69" s="94"/>
    </row>
    <row r="70" ht="15.75" customHeight="1">
      <c r="C70" s="94" t="s">
        <v>216</v>
      </c>
      <c r="D70" s="182"/>
      <c r="E70" s="182"/>
      <c r="F70" s="182"/>
      <c r="I70" s="190">
        <f>'Sources and Uses'!D18</f>
        <v>16400</v>
      </c>
      <c r="O70" s="94"/>
    </row>
    <row r="71" ht="15.75" customHeight="1">
      <c r="C71" s="94" t="s">
        <v>204</v>
      </c>
      <c r="D71" s="182"/>
      <c r="E71" s="182"/>
      <c r="F71" s="182"/>
      <c r="I71" s="192">
        <f t="shared" ref="I71:M71" si="97">I53</f>
        <v>8765</v>
      </c>
      <c r="J71" s="192">
        <f t="shared" si="97"/>
        <v>9044.2</v>
      </c>
      <c r="K71" s="192">
        <f t="shared" si="97"/>
        <v>9335.176</v>
      </c>
      <c r="L71" s="192">
        <f t="shared" si="97"/>
        <v>9638.96128</v>
      </c>
      <c r="M71" s="192">
        <f t="shared" si="97"/>
        <v>9956.756118</v>
      </c>
      <c r="O71" s="94"/>
    </row>
    <row r="72" ht="15.75" customHeight="1">
      <c r="C72" s="94" t="s">
        <v>217</v>
      </c>
      <c r="D72" s="182"/>
      <c r="E72" s="182"/>
      <c r="F72" s="182"/>
      <c r="M72" s="189">
        <f>(M61-'Sources and Uses'!D13)*D63</f>
        <v>634811.1297</v>
      </c>
      <c r="O72" s="94"/>
    </row>
    <row r="73" ht="15.75" customHeight="1">
      <c r="C73" s="94" t="s">
        <v>12</v>
      </c>
      <c r="D73" s="182">
        <f>sum(I68:M72)</f>
        <v>876083.346</v>
      </c>
      <c r="E73" s="182"/>
      <c r="F73" s="182"/>
      <c r="O73" s="94"/>
    </row>
    <row r="74" ht="15.75" customHeight="1">
      <c r="D74" s="182"/>
      <c r="E74" s="182"/>
      <c r="F74" s="182"/>
      <c r="O74" s="94"/>
    </row>
    <row r="75" ht="15.75" customHeight="1">
      <c r="D75" s="182"/>
      <c r="E75" s="182"/>
      <c r="F75" s="182"/>
      <c r="O75" s="94"/>
    </row>
    <row r="76" ht="15.75" customHeight="1">
      <c r="D76" s="182"/>
      <c r="E76" s="182"/>
      <c r="F76" s="182"/>
      <c r="I76" s="109">
        <f t="shared" ref="I76:M76" si="98">I47-I52</f>
        <v>112033.6187</v>
      </c>
      <c r="J76" s="109">
        <f t="shared" si="98"/>
        <v>121003.5187</v>
      </c>
      <c r="K76" s="109">
        <f t="shared" si="98"/>
        <v>130582.5157</v>
      </c>
      <c r="L76" s="109">
        <f t="shared" si="98"/>
        <v>140856.8826</v>
      </c>
      <c r="M76" s="109">
        <f t="shared" si="98"/>
        <v>151929.0805</v>
      </c>
      <c r="O76" s="94"/>
    </row>
    <row r="77" ht="15.75" customHeight="1">
      <c r="D77" s="182"/>
      <c r="E77" s="182"/>
      <c r="F77" s="182"/>
      <c r="O77" s="94"/>
    </row>
    <row r="78" ht="15.75" customHeight="1">
      <c r="D78" s="182"/>
      <c r="E78" s="182"/>
      <c r="F78" s="182"/>
      <c r="O78" s="94"/>
    </row>
    <row r="79" ht="15.75" customHeight="1">
      <c r="D79" s="182"/>
      <c r="E79" s="182"/>
      <c r="F79" s="182"/>
      <c r="O79" s="94"/>
    </row>
    <row r="80" ht="15.75" customHeight="1">
      <c r="D80" s="182"/>
      <c r="E80" s="182"/>
      <c r="F80" s="182"/>
      <c r="O80" s="94"/>
    </row>
    <row r="81" ht="15.75" customHeight="1">
      <c r="D81" s="182"/>
      <c r="E81" s="182"/>
      <c r="F81" s="182"/>
      <c r="I81" s="107">
        <f>I47/12</f>
        <v>20402.5</v>
      </c>
      <c r="O81" s="94"/>
    </row>
    <row r="82" ht="15.75" customHeight="1">
      <c r="D82" s="182"/>
      <c r="E82" s="182"/>
      <c r="F82" s="182"/>
      <c r="I82" s="107">
        <f>I55/12</f>
        <v>4953.634892</v>
      </c>
      <c r="O82" s="94"/>
    </row>
    <row r="83" ht="15.75" customHeight="1">
      <c r="D83" s="182"/>
      <c r="E83" s="182"/>
      <c r="F83" s="182"/>
      <c r="O83" s="94"/>
    </row>
    <row r="84" ht="15.75" customHeight="1">
      <c r="D84" s="182"/>
      <c r="E84" s="182"/>
      <c r="F84" s="182"/>
      <c r="O84" s="94"/>
    </row>
    <row r="85" ht="15.75" customHeight="1">
      <c r="D85" s="182"/>
      <c r="E85" s="182"/>
      <c r="F85" s="182"/>
      <c r="O85" s="94"/>
    </row>
    <row r="86" ht="15.75" customHeight="1">
      <c r="D86" s="182"/>
      <c r="E86" s="182"/>
      <c r="F86" s="182"/>
      <c r="O86" s="94" t="s">
        <v>218</v>
      </c>
      <c r="P86" s="192"/>
      <c r="Q86" s="192"/>
      <c r="R86" s="192"/>
      <c r="S86" s="192"/>
      <c r="T86" s="192"/>
      <c r="U86" s="192"/>
      <c r="V86" s="192"/>
      <c r="W86" s="192"/>
      <c r="X86" s="192"/>
      <c r="Y86" s="192"/>
      <c r="Z86" s="192"/>
      <c r="AA86" s="192"/>
      <c r="AB86" s="192">
        <f>sum(I55:M55)</f>
        <v>378880.1493</v>
      </c>
    </row>
    <row r="87" ht="15.75" customHeight="1">
      <c r="D87" s="182"/>
      <c r="E87" s="182"/>
      <c r="F87" s="182"/>
      <c r="O87" s="94" t="s">
        <v>219</v>
      </c>
      <c r="P87" s="189"/>
      <c r="Q87" s="189"/>
      <c r="R87" s="189"/>
      <c r="S87" s="189"/>
      <c r="T87" s="189"/>
      <c r="U87" s="189"/>
      <c r="V87" s="189"/>
      <c r="W87" s="189"/>
      <c r="X87" s="189"/>
      <c r="Y87" s="189"/>
      <c r="Z87" s="189"/>
      <c r="AA87" s="189"/>
      <c r="AB87" s="189">
        <f>M61-'Sources and Uses'!D13</f>
        <v>1269622.259</v>
      </c>
    </row>
    <row r="88" ht="15.75" customHeight="1">
      <c r="D88" s="182">
        <f t="shared" ref="D88:G88" si="99">D46+D89</f>
        <v>77757.49</v>
      </c>
      <c r="E88" s="182">
        <f t="shared" si="99"/>
        <v>95190.73</v>
      </c>
      <c r="F88" s="182">
        <f t="shared" si="99"/>
        <v>925680.47</v>
      </c>
      <c r="G88" s="182">
        <f t="shared" si="99"/>
        <v>57051.05</v>
      </c>
      <c r="O88" s="94" t="s">
        <v>21</v>
      </c>
      <c r="P88" s="189"/>
      <c r="Q88" s="189"/>
      <c r="R88" s="189"/>
      <c r="S88" s="189"/>
      <c r="T88" s="189"/>
      <c r="U88" s="189"/>
      <c r="V88" s="189"/>
      <c r="W88" s="189"/>
      <c r="X88" s="189"/>
      <c r="Y88" s="189"/>
      <c r="Z88" s="189"/>
      <c r="AA88" s="189"/>
      <c r="AB88" s="189">
        <f>AB87+AB86</f>
        <v>1648502.409</v>
      </c>
    </row>
    <row r="89" ht="15.75" customHeight="1">
      <c r="C89" s="145" t="s">
        <v>220</v>
      </c>
      <c r="D89" s="193">
        <f t="shared" ref="D89:G89" si="100">SUM(D90:D1048604)</f>
        <v>77757.49</v>
      </c>
      <c r="E89" s="193">
        <f t="shared" si="100"/>
        <v>95190.73</v>
      </c>
      <c r="F89" s="193">
        <f t="shared" si="100"/>
        <v>219356.59</v>
      </c>
      <c r="G89" s="193">
        <f t="shared" si="100"/>
        <v>57051.05</v>
      </c>
      <c r="O89" s="94" t="s">
        <v>221</v>
      </c>
      <c r="P89" s="189"/>
      <c r="Q89" s="189"/>
      <c r="R89" s="189"/>
      <c r="S89" s="189"/>
      <c r="T89" s="189"/>
      <c r="U89" s="189"/>
      <c r="V89" s="189"/>
      <c r="W89" s="189"/>
      <c r="X89" s="189"/>
      <c r="Y89" s="189"/>
      <c r="Z89" s="189"/>
      <c r="AA89" s="189"/>
      <c r="AB89" s="189">
        <f>sum(I62:M62)</f>
        <v>236160</v>
      </c>
    </row>
    <row r="90" ht="15.75" customHeight="1">
      <c r="C90" s="145" t="s">
        <v>222</v>
      </c>
      <c r="D90" s="194">
        <v>76200.0</v>
      </c>
      <c r="E90" s="194">
        <v>94500.0</v>
      </c>
      <c r="F90" s="194">
        <v>216146.09</v>
      </c>
      <c r="G90" s="94">
        <v>55000.0</v>
      </c>
      <c r="O90" s="94" t="s">
        <v>223</v>
      </c>
      <c r="P90" s="189"/>
      <c r="Q90" s="189"/>
      <c r="R90" s="189"/>
      <c r="S90" s="189"/>
      <c r="T90" s="189"/>
      <c r="U90" s="189"/>
      <c r="V90" s="189"/>
      <c r="W90" s="189"/>
      <c r="X90" s="189"/>
      <c r="Y90" s="189"/>
      <c r="Z90" s="189"/>
      <c r="AA90" s="189"/>
      <c r="AB90" s="189">
        <f>AB88-AB89</f>
        <v>1412342.409</v>
      </c>
    </row>
    <row r="91" ht="15.75" customHeight="1">
      <c r="C91" s="145" t="s">
        <v>224</v>
      </c>
      <c r="D91" s="194">
        <v>302.63</v>
      </c>
      <c r="E91" s="194">
        <v>267.59</v>
      </c>
      <c r="F91" s="194">
        <v>924.19</v>
      </c>
      <c r="G91" s="94">
        <v>26.68</v>
      </c>
      <c r="O91" s="94" t="s">
        <v>225</v>
      </c>
      <c r="P91" s="189"/>
      <c r="Q91" s="189"/>
      <c r="R91" s="189"/>
      <c r="S91" s="189"/>
      <c r="T91" s="189"/>
      <c r="U91" s="189"/>
      <c r="V91" s="189"/>
      <c r="W91" s="189"/>
      <c r="X91" s="189"/>
      <c r="Y91" s="189"/>
      <c r="Z91" s="189"/>
      <c r="AA91" s="189"/>
      <c r="AB91" s="189">
        <f>AB90/2</f>
        <v>706171.2044</v>
      </c>
    </row>
    <row r="92" ht="15.75" customHeight="1">
      <c r="C92" s="145" t="s">
        <v>226</v>
      </c>
      <c r="D92" s="194">
        <v>844.33</v>
      </c>
      <c r="E92" s="195" t="s">
        <v>227</v>
      </c>
      <c r="F92" s="194">
        <v>1269.69</v>
      </c>
      <c r="O92" s="94" t="s">
        <v>228</v>
      </c>
      <c r="P92" s="189"/>
      <c r="Q92" s="189"/>
      <c r="R92" s="189"/>
      <c r="S92" s="189"/>
      <c r="T92" s="189"/>
      <c r="U92" s="189"/>
      <c r="V92" s="189"/>
      <c r="W92" s="189"/>
      <c r="X92" s="189"/>
      <c r="Y92" s="189"/>
      <c r="Z92" s="189"/>
      <c r="AA92" s="189"/>
      <c r="AB92" s="189">
        <f>AB91+AB89</f>
        <v>942331.2044</v>
      </c>
    </row>
    <row r="93" ht="15.75" customHeight="1">
      <c r="C93" s="196" t="s">
        <v>229</v>
      </c>
      <c r="D93" s="194">
        <v>410.53</v>
      </c>
      <c r="E93" s="194">
        <v>423.14</v>
      </c>
      <c r="F93" s="194">
        <v>310.0</v>
      </c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  <c r="AA93" s="99"/>
      <c r="AB93" s="99">
        <f>AB92/'Sources and Uses'!D13</f>
        <v>1.596089438</v>
      </c>
    </row>
    <row r="94" ht="15.75" customHeight="1">
      <c r="C94" s="196" t="s">
        <v>230</v>
      </c>
      <c r="D94" s="195" t="s">
        <v>227</v>
      </c>
      <c r="E94" s="195" t="s">
        <v>227</v>
      </c>
      <c r="F94" s="194">
        <v>693.1</v>
      </c>
      <c r="G94" s="94">
        <v>1471.87</v>
      </c>
    </row>
    <row r="95" ht="15.75" customHeight="1">
      <c r="C95" s="196" t="s">
        <v>13</v>
      </c>
      <c r="D95" s="195" t="s">
        <v>227</v>
      </c>
      <c r="E95" s="195" t="s">
        <v>227</v>
      </c>
      <c r="F95" s="194">
        <v>13.52</v>
      </c>
    </row>
    <row r="96" ht="15.75" customHeight="1">
      <c r="C96" s="94" t="s">
        <v>231</v>
      </c>
      <c r="G96" s="94">
        <v>552.5</v>
      </c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  <c r="AA96" s="94"/>
      <c r="AB96" s="94" t="s">
        <v>232</v>
      </c>
      <c r="AC96" s="94" t="s">
        <v>61</v>
      </c>
      <c r="AD96" s="94" t="s">
        <v>62</v>
      </c>
      <c r="AE96" s="94" t="s">
        <v>63</v>
      </c>
      <c r="AF96" s="94" t="s">
        <v>64</v>
      </c>
      <c r="AG96" s="94" t="s">
        <v>65</v>
      </c>
    </row>
    <row r="97" ht="15.75" customHeight="1">
      <c r="O97" s="94" t="s">
        <v>30</v>
      </c>
      <c r="P97" s="190"/>
      <c r="Q97" s="190"/>
      <c r="R97" s="190"/>
      <c r="S97" s="190"/>
      <c r="T97" s="190"/>
      <c r="U97" s="190"/>
      <c r="V97" s="190"/>
      <c r="W97" s="190"/>
      <c r="X97" s="190"/>
      <c r="Y97" s="190"/>
      <c r="Z97" s="190"/>
      <c r="AA97" s="190"/>
      <c r="AB97" s="190">
        <f>-'Sources and Uses'!D13</f>
        <v>-590400</v>
      </c>
      <c r="AC97" s="192">
        <f t="shared" ref="AC97:AG97" si="101">I55</f>
        <v>59443.61871</v>
      </c>
      <c r="AD97" s="192">
        <f t="shared" si="101"/>
        <v>67017.51871</v>
      </c>
      <c r="AE97" s="192">
        <f t="shared" si="101"/>
        <v>75141.63571</v>
      </c>
      <c r="AF97" s="192">
        <f t="shared" si="101"/>
        <v>83897.07622</v>
      </c>
      <c r="AG97" s="192">
        <f t="shared" si="101"/>
        <v>93380.29995</v>
      </c>
    </row>
    <row r="98" ht="15.75" customHeight="1">
      <c r="O98" s="94" t="s">
        <v>60</v>
      </c>
    </row>
    <row r="99" ht="15.75" customHeight="1">
      <c r="O99" s="94" t="s">
        <v>233</v>
      </c>
      <c r="AG99" s="189">
        <f>M61</f>
        <v>1860022.259</v>
      </c>
    </row>
    <row r="100" ht="15.75" customHeight="1">
      <c r="O100" s="94" t="s">
        <v>234</v>
      </c>
      <c r="AC100" s="189">
        <f t="shared" ref="AC100:AF100" si="102">(I55-I62)/2</f>
        <v>6105.809355</v>
      </c>
      <c r="AD100" s="189">
        <f t="shared" si="102"/>
        <v>9892.759355</v>
      </c>
      <c r="AE100" s="189">
        <f t="shared" si="102"/>
        <v>13954.81785</v>
      </c>
      <c r="AF100" s="189">
        <f t="shared" si="102"/>
        <v>18332.53811</v>
      </c>
      <c r="AG100" s="189">
        <f>((M55-M62)/2)+((AG99-'Sources and Uses'!D13)/2)</f>
        <v>657885.2797</v>
      </c>
    </row>
    <row r="101" ht="15.75" customHeight="1">
      <c r="O101" s="94" t="s">
        <v>235</v>
      </c>
      <c r="P101" s="190"/>
      <c r="Q101" s="190"/>
      <c r="R101" s="190"/>
      <c r="S101" s="190"/>
      <c r="T101" s="190"/>
      <c r="U101" s="190"/>
      <c r="V101" s="190"/>
      <c r="W101" s="190"/>
      <c r="X101" s="190"/>
      <c r="Y101" s="190"/>
      <c r="Z101" s="190"/>
      <c r="AA101" s="190"/>
      <c r="AB101" s="190">
        <f>AB99+AB98+AB97</f>
        <v>-590400</v>
      </c>
      <c r="AC101" s="192">
        <f t="shared" ref="AC101:AG101" si="103">AC99+AC98+AC97-AC100</f>
        <v>53337.80935</v>
      </c>
      <c r="AD101" s="192">
        <f t="shared" si="103"/>
        <v>57124.75935</v>
      </c>
      <c r="AE101" s="192">
        <f t="shared" si="103"/>
        <v>61186.81785</v>
      </c>
      <c r="AF101" s="192">
        <f t="shared" si="103"/>
        <v>65564.53811</v>
      </c>
      <c r="AG101" s="189">
        <f t="shared" si="103"/>
        <v>1295517.28</v>
      </c>
    </row>
    <row r="102" ht="15.75" customHeight="1">
      <c r="O102" s="94" t="s">
        <v>236</v>
      </c>
      <c r="P102" s="197"/>
      <c r="Q102" s="197"/>
      <c r="R102" s="197"/>
      <c r="S102" s="197"/>
      <c r="T102" s="197"/>
      <c r="U102" s="197"/>
      <c r="V102" s="197"/>
      <c r="W102" s="197"/>
      <c r="X102" s="197"/>
      <c r="Y102" s="197"/>
      <c r="Z102" s="197"/>
      <c r="AA102" s="197"/>
      <c r="AB102" s="197">
        <f>irr(AB101:AG101)</f>
        <v>0.2358806535</v>
      </c>
    </row>
    <row r="103" ht="15.75" customHeight="1">
      <c r="O103" s="94" t="s">
        <v>237</v>
      </c>
      <c r="P103" s="197"/>
      <c r="Q103" s="197"/>
      <c r="R103" s="197"/>
      <c r="S103" s="197"/>
      <c r="T103" s="197"/>
      <c r="U103" s="197"/>
      <c r="V103" s="197"/>
      <c r="W103" s="197"/>
      <c r="X103" s="197"/>
      <c r="Y103" s="197"/>
      <c r="Z103" s="197"/>
      <c r="AA103" s="197"/>
      <c r="AB103" s="197">
        <f>sum(AB101:AG101)/'Sources and Uses'!D13</f>
        <v>1.596089438</v>
      </c>
    </row>
    <row r="104" ht="15.75" customHeight="1"/>
    <row r="105" ht="15.75" customHeight="1"/>
    <row r="106" ht="15.75" customHeight="1"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 t="s">
        <v>232</v>
      </c>
      <c r="AC106" s="94" t="s">
        <v>61</v>
      </c>
      <c r="AD106" s="94" t="s">
        <v>62</v>
      </c>
      <c r="AE106" s="94" t="s">
        <v>63</v>
      </c>
      <c r="AF106" s="94" t="s">
        <v>64</v>
      </c>
      <c r="AG106" s="94" t="s">
        <v>65</v>
      </c>
    </row>
    <row r="107" ht="15.75" customHeight="1">
      <c r="O107" s="94" t="s">
        <v>30</v>
      </c>
      <c r="P107" s="190"/>
      <c r="Q107" s="190"/>
      <c r="R107" s="190"/>
      <c r="S107" s="190"/>
      <c r="T107" s="190"/>
      <c r="U107" s="190"/>
      <c r="V107" s="190"/>
      <c r="W107" s="190"/>
      <c r="X107" s="190"/>
      <c r="Y107" s="190"/>
      <c r="Z107" s="190"/>
      <c r="AA107" s="190"/>
      <c r="AB107" s="190">
        <f t="shared" ref="AB107:AD107" si="104">AB97</f>
        <v>-590400</v>
      </c>
      <c r="AC107" s="192">
        <f t="shared" si="104"/>
        <v>59443.61871</v>
      </c>
      <c r="AD107" s="192">
        <f t="shared" si="104"/>
        <v>67017.51871</v>
      </c>
      <c r="AE107" s="99">
        <f t="shared" ref="AE107:AG107" si="105">K65</f>
        <v>0.1036362091</v>
      </c>
      <c r="AF107" s="99">
        <f t="shared" si="105"/>
        <v>0.1110510469</v>
      </c>
      <c r="AG107" s="99">
        <f t="shared" si="105"/>
        <v>0.1190822323</v>
      </c>
    </row>
    <row r="108" ht="15.75" customHeight="1">
      <c r="O108" s="94" t="s">
        <v>60</v>
      </c>
    </row>
    <row r="109" ht="15.75" customHeight="1">
      <c r="O109" s="94" t="s">
        <v>233</v>
      </c>
      <c r="AD109" s="189">
        <f>J61</f>
        <v>1398006.133</v>
      </c>
      <c r="AG109" s="94" t="str">
        <f>M91</f>
        <v/>
      </c>
    </row>
    <row r="110" ht="15.75" customHeight="1">
      <c r="O110" s="94" t="s">
        <v>234</v>
      </c>
      <c r="AC110" s="189">
        <f t="shared" ref="AC110:AD110" si="106">AC100</f>
        <v>6105.809355</v>
      </c>
      <c r="AD110" s="189">
        <f t="shared" si="106"/>
        <v>9892.759355</v>
      </c>
      <c r="AE110" s="189">
        <f t="shared" ref="AE110:AF110" si="107">(K65-K92)/2</f>
        <v>0.05181810455</v>
      </c>
      <c r="AF110" s="189">
        <f t="shared" si="107"/>
        <v>0.05552552347</v>
      </c>
      <c r="AG110" s="189">
        <f>((M65-M92)/2)+((AG109-'Sources and Uses'!D23)/2)</f>
        <v>-79949.94046</v>
      </c>
    </row>
    <row r="111" ht="15.75" customHeight="1">
      <c r="O111" s="94" t="s">
        <v>235</v>
      </c>
      <c r="P111" s="190"/>
      <c r="Q111" s="190"/>
      <c r="R111" s="190"/>
      <c r="S111" s="190"/>
      <c r="T111" s="190"/>
      <c r="U111" s="190"/>
      <c r="V111" s="190"/>
      <c r="W111" s="190"/>
      <c r="X111" s="190"/>
      <c r="Y111" s="190"/>
      <c r="Z111" s="190"/>
      <c r="AA111" s="190"/>
      <c r="AB111" s="190">
        <f>AB109+AB108+AB107</f>
        <v>-590400</v>
      </c>
      <c r="AC111" s="192">
        <f t="shared" ref="AC111:AG111" si="108">AC109+AC108+AC107-AC110</f>
        <v>53337.80935</v>
      </c>
      <c r="AD111" s="189">
        <f t="shared" si="108"/>
        <v>1455130.892</v>
      </c>
      <c r="AE111" s="99">
        <f t="shared" si="108"/>
        <v>0.05181810455</v>
      </c>
      <c r="AF111" s="99">
        <f t="shared" si="108"/>
        <v>0.05552552347</v>
      </c>
      <c r="AG111" s="99">
        <f t="shared" si="108"/>
        <v>79950.05954</v>
      </c>
    </row>
    <row r="112" ht="15.75" customHeight="1">
      <c r="O112" s="94" t="s">
        <v>236</v>
      </c>
      <c r="P112" s="197"/>
      <c r="Q112" s="197"/>
      <c r="R112" s="197"/>
      <c r="S112" s="197"/>
      <c r="T112" s="197"/>
      <c r="U112" s="197"/>
      <c r="V112" s="197"/>
      <c r="W112" s="197"/>
      <c r="X112" s="197"/>
      <c r="Y112" s="197"/>
      <c r="Z112" s="197"/>
      <c r="AA112" s="197"/>
      <c r="AB112" s="197">
        <f>irr(AB111:AG111)</f>
        <v>0.6257429755</v>
      </c>
    </row>
    <row r="113" ht="15.75" customHeight="1">
      <c r="O113" s="94" t="s">
        <v>237</v>
      </c>
      <c r="P113" s="197"/>
      <c r="Q113" s="197"/>
      <c r="R113" s="197"/>
      <c r="S113" s="197"/>
      <c r="T113" s="197"/>
      <c r="U113" s="197"/>
      <c r="V113" s="197"/>
      <c r="W113" s="197"/>
      <c r="X113" s="197"/>
      <c r="Y113" s="197"/>
      <c r="Z113" s="197"/>
      <c r="AA113" s="197"/>
      <c r="AB113" s="197"/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396F"/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2" width="1.88"/>
    <col customWidth="1" min="3" max="3" width="42.25"/>
    <col customWidth="1" min="4" max="7" width="12.5"/>
    <col customWidth="1" min="8" max="8" width="14.88"/>
    <col customWidth="1" min="9" max="13" width="12.25"/>
    <col customWidth="1" min="14" max="14" width="12.5"/>
    <col customWidth="1" min="15" max="15" width="18.75"/>
    <col customWidth="1" min="16" max="26" width="12.5"/>
  </cols>
  <sheetData>
    <row r="1" ht="9.75" customHeight="1"/>
    <row r="2" ht="15.75" customHeight="1">
      <c r="C2" s="70" t="s">
        <v>141</v>
      </c>
      <c r="D2" s="137"/>
      <c r="E2" s="137"/>
      <c r="F2" s="137"/>
      <c r="G2" s="137"/>
      <c r="H2" s="137"/>
      <c r="I2" s="137"/>
      <c r="J2" s="137"/>
      <c r="K2" s="137"/>
      <c r="L2" s="137"/>
      <c r="M2" s="137"/>
    </row>
    <row r="3" ht="15.75" customHeight="1">
      <c r="C3" s="138"/>
    </row>
    <row r="4" ht="26.25" customHeight="1">
      <c r="C4" s="139" t="s">
        <v>142</v>
      </c>
      <c r="D4" s="140">
        <v>2022.0</v>
      </c>
      <c r="E4" s="140">
        <v>2023.0</v>
      </c>
      <c r="F4" s="140">
        <v>2024.0</v>
      </c>
      <c r="G4" s="140" t="s">
        <v>143</v>
      </c>
      <c r="H4" s="140" t="s">
        <v>144</v>
      </c>
      <c r="I4" s="140" t="s">
        <v>145</v>
      </c>
      <c r="J4" s="140" t="s">
        <v>146</v>
      </c>
      <c r="K4" s="140" t="s">
        <v>147</v>
      </c>
      <c r="L4" s="140" t="s">
        <v>148</v>
      </c>
      <c r="M4" s="140" t="s">
        <v>149</v>
      </c>
    </row>
    <row r="5" ht="15.75" customHeight="1">
      <c r="C5" s="142" t="s">
        <v>162</v>
      </c>
      <c r="D5" s="143"/>
      <c r="E5" s="143"/>
      <c r="F5" s="143"/>
      <c r="G5" s="143"/>
      <c r="H5" s="143"/>
      <c r="I5" s="144">
        <v>960000.0</v>
      </c>
      <c r="J5" s="143"/>
      <c r="K5" s="143"/>
      <c r="L5" s="143"/>
      <c r="M5" s="143"/>
    </row>
    <row r="6" ht="15.75" customHeight="1">
      <c r="C6" s="142" t="s">
        <v>11</v>
      </c>
      <c r="D6" s="143"/>
      <c r="E6" s="143"/>
      <c r="F6" s="143"/>
      <c r="G6" s="143"/>
      <c r="H6" s="143"/>
      <c r="I6" s="143">
        <f>I5*-0.1</f>
        <v>-96000</v>
      </c>
      <c r="J6" s="143"/>
      <c r="K6" s="143"/>
      <c r="L6" s="143"/>
      <c r="M6" s="143"/>
    </row>
    <row r="7" ht="15.75" customHeight="1">
      <c r="A7" s="145"/>
      <c r="B7" s="145"/>
      <c r="C7" s="146" t="s">
        <v>163</v>
      </c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</row>
    <row r="8" ht="15.75" customHeight="1">
      <c r="A8" s="145"/>
      <c r="B8" s="145"/>
      <c r="C8" s="148" t="s">
        <v>164</v>
      </c>
      <c r="D8" s="149"/>
      <c r="E8" s="149"/>
      <c r="F8" s="149"/>
      <c r="G8" s="149"/>
      <c r="H8" s="149"/>
      <c r="I8" s="149">
        <v>5000.0</v>
      </c>
      <c r="J8" s="149">
        <f t="shared" ref="J8:M8" si="1">I8*1.2</f>
        <v>6000</v>
      </c>
      <c r="K8" s="149">
        <f t="shared" si="1"/>
        <v>7200</v>
      </c>
      <c r="L8" s="149">
        <f t="shared" si="1"/>
        <v>8640</v>
      </c>
      <c r="M8" s="149">
        <f t="shared" si="1"/>
        <v>10368</v>
      </c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</row>
    <row r="9" ht="15.75" customHeight="1">
      <c r="A9" s="145"/>
      <c r="B9" s="145"/>
      <c r="C9" s="148" t="s">
        <v>13</v>
      </c>
      <c r="D9" s="149"/>
      <c r="E9" s="149"/>
      <c r="F9" s="150">
        <v>13087.72</v>
      </c>
      <c r="G9" s="149"/>
      <c r="H9" s="149"/>
      <c r="I9" s="149">
        <v>2500.0</v>
      </c>
      <c r="J9" s="149">
        <f t="shared" ref="J9:M9" si="2">I9</f>
        <v>2500</v>
      </c>
      <c r="K9" s="149">
        <f t="shared" si="2"/>
        <v>2500</v>
      </c>
      <c r="L9" s="149">
        <f t="shared" si="2"/>
        <v>2500</v>
      </c>
      <c r="M9" s="149">
        <f t="shared" si="2"/>
        <v>2500</v>
      </c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</row>
    <row r="10" ht="15.75" customHeight="1">
      <c r="A10" s="145"/>
      <c r="B10" s="145"/>
      <c r="C10" s="148" t="s">
        <v>165</v>
      </c>
      <c r="D10" s="151"/>
      <c r="E10" s="151"/>
      <c r="F10" s="152">
        <v>835117.5</v>
      </c>
      <c r="G10" s="149"/>
      <c r="H10" s="149">
        <f>G10*4</f>
        <v>0</v>
      </c>
      <c r="I10" s="149">
        <f>I5+I6</f>
        <v>864000</v>
      </c>
      <c r="J10" s="149">
        <f t="shared" ref="J10:M10" si="3">I10*1.03</f>
        <v>889920</v>
      </c>
      <c r="K10" s="149">
        <f t="shared" si="3"/>
        <v>916617.6</v>
      </c>
      <c r="L10" s="149">
        <f t="shared" si="3"/>
        <v>944116.128</v>
      </c>
      <c r="M10" s="149">
        <f t="shared" si="3"/>
        <v>972439.6118</v>
      </c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</row>
    <row r="11" ht="15.75" customHeight="1">
      <c r="A11" s="145"/>
      <c r="B11" s="145"/>
      <c r="C11" s="148" t="s">
        <v>166</v>
      </c>
      <c r="D11" s="149"/>
      <c r="E11" s="149"/>
      <c r="F11" s="149"/>
      <c r="G11" s="149"/>
      <c r="H11" s="149"/>
      <c r="I11" s="149">
        <v>5000.0</v>
      </c>
      <c r="J11" s="149">
        <f t="shared" ref="J11:M11" si="4">I11*1.2</f>
        <v>6000</v>
      </c>
      <c r="K11" s="149">
        <f t="shared" si="4"/>
        <v>7200</v>
      </c>
      <c r="L11" s="149">
        <f t="shared" si="4"/>
        <v>8640</v>
      </c>
      <c r="M11" s="149">
        <f t="shared" si="4"/>
        <v>10368</v>
      </c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</row>
    <row r="12" ht="15.75" customHeight="1">
      <c r="A12" s="145"/>
      <c r="B12" s="145"/>
      <c r="C12" s="146" t="s">
        <v>167</v>
      </c>
      <c r="D12" s="153">
        <f t="shared" ref="D12:M12" si="5">SUM(D8:D11)</f>
        <v>0</v>
      </c>
      <c r="E12" s="153">
        <f t="shared" si="5"/>
        <v>0</v>
      </c>
      <c r="F12" s="153">
        <f t="shared" si="5"/>
        <v>848205.22</v>
      </c>
      <c r="G12" s="153">
        <f t="shared" si="5"/>
        <v>0</v>
      </c>
      <c r="H12" s="153">
        <f t="shared" si="5"/>
        <v>0</v>
      </c>
      <c r="I12" s="153">
        <f t="shared" si="5"/>
        <v>876500</v>
      </c>
      <c r="J12" s="153">
        <f t="shared" si="5"/>
        <v>904420</v>
      </c>
      <c r="K12" s="153">
        <f t="shared" si="5"/>
        <v>933517.6</v>
      </c>
      <c r="L12" s="153">
        <f t="shared" si="5"/>
        <v>963896.128</v>
      </c>
      <c r="M12" s="153">
        <f t="shared" si="5"/>
        <v>995675.6118</v>
      </c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</row>
    <row r="13" ht="15.75" customHeight="1">
      <c r="A13" s="145"/>
      <c r="B13" s="145"/>
      <c r="C13" s="154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</row>
    <row r="14" ht="15.75" customHeight="1">
      <c r="A14" s="145"/>
      <c r="B14" s="145"/>
      <c r="C14" s="146" t="s">
        <v>17</v>
      </c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</row>
    <row r="15" ht="15.75" customHeight="1">
      <c r="A15" s="145"/>
      <c r="B15" s="145"/>
      <c r="C15" s="155" t="s">
        <v>168</v>
      </c>
      <c r="D15" s="156"/>
      <c r="E15" s="157"/>
      <c r="F15" s="158">
        <v>8954.54</v>
      </c>
      <c r="G15" s="159"/>
      <c r="H15" s="149">
        <f t="shared" ref="H15:H45" si="7">G15*4</f>
        <v>0</v>
      </c>
      <c r="I15" s="150">
        <v>2000.0</v>
      </c>
      <c r="J15" s="149">
        <f t="shared" ref="J15:M15" si="6">I15*1.03</f>
        <v>2060</v>
      </c>
      <c r="K15" s="149">
        <f t="shared" si="6"/>
        <v>2121.8</v>
      </c>
      <c r="L15" s="149">
        <f t="shared" si="6"/>
        <v>2185.454</v>
      </c>
      <c r="M15" s="149">
        <f t="shared" si="6"/>
        <v>2251.01762</v>
      </c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</row>
    <row r="16" ht="15.75" customHeight="1">
      <c r="A16" s="145"/>
      <c r="B16" s="145"/>
      <c r="C16" s="155" t="s">
        <v>169</v>
      </c>
      <c r="D16" s="157"/>
      <c r="E16" s="157"/>
      <c r="F16" s="158">
        <v>252.13</v>
      </c>
      <c r="G16" s="159"/>
      <c r="H16" s="149">
        <f t="shared" si="7"/>
        <v>0</v>
      </c>
      <c r="I16" s="150">
        <v>600.0</v>
      </c>
      <c r="J16" s="149">
        <f t="shared" ref="J16:M16" si="8">I16*1.03</f>
        <v>618</v>
      </c>
      <c r="K16" s="149">
        <f t="shared" si="8"/>
        <v>636.54</v>
      </c>
      <c r="L16" s="149">
        <f t="shared" si="8"/>
        <v>655.6362</v>
      </c>
      <c r="M16" s="149">
        <f t="shared" si="8"/>
        <v>675.305286</v>
      </c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</row>
    <row r="17" ht="15.75" customHeight="1">
      <c r="A17" s="145"/>
      <c r="B17" s="145"/>
      <c r="C17" s="155" t="s">
        <v>170</v>
      </c>
      <c r="D17" s="157"/>
      <c r="E17" s="157"/>
      <c r="F17" s="158">
        <v>3817.98</v>
      </c>
      <c r="G17" s="159"/>
      <c r="H17" s="149">
        <f t="shared" si="7"/>
        <v>0</v>
      </c>
      <c r="I17" s="150">
        <v>500.0</v>
      </c>
      <c r="J17" s="149">
        <f t="shared" ref="J17:M17" si="9">I17*1.03</f>
        <v>515</v>
      </c>
      <c r="K17" s="149">
        <f t="shared" si="9"/>
        <v>530.45</v>
      </c>
      <c r="L17" s="149">
        <f t="shared" si="9"/>
        <v>546.3635</v>
      </c>
      <c r="M17" s="149">
        <f t="shared" si="9"/>
        <v>562.754405</v>
      </c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</row>
    <row r="18" ht="15.75" customHeight="1">
      <c r="A18" s="145"/>
      <c r="B18" s="145"/>
      <c r="C18" s="155" t="s">
        <v>171</v>
      </c>
      <c r="D18" s="157"/>
      <c r="E18" s="157"/>
      <c r="F18" s="158">
        <v>1819.25</v>
      </c>
      <c r="G18" s="159"/>
      <c r="H18" s="149">
        <f t="shared" si="7"/>
        <v>0</v>
      </c>
      <c r="I18" s="150">
        <v>1800.0</v>
      </c>
      <c r="J18" s="149">
        <f t="shared" ref="J18:M18" si="10">I18*1.03</f>
        <v>1854</v>
      </c>
      <c r="K18" s="149">
        <f t="shared" si="10"/>
        <v>1909.62</v>
      </c>
      <c r="L18" s="149">
        <f t="shared" si="10"/>
        <v>1966.9086</v>
      </c>
      <c r="M18" s="149">
        <f t="shared" si="10"/>
        <v>2025.915858</v>
      </c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</row>
    <row r="19" ht="15.75" customHeight="1">
      <c r="A19" s="145"/>
      <c r="B19" s="145"/>
      <c r="C19" s="155" t="s">
        <v>172</v>
      </c>
      <c r="D19" s="157"/>
      <c r="E19" s="157"/>
      <c r="F19" s="160"/>
      <c r="G19" s="159"/>
      <c r="H19" s="149">
        <f t="shared" si="7"/>
        <v>0</v>
      </c>
      <c r="I19" s="150">
        <v>6720.0</v>
      </c>
      <c r="J19" s="149">
        <f t="shared" ref="J19:M19" si="11">I19*1.03</f>
        <v>6921.6</v>
      </c>
      <c r="K19" s="149">
        <f t="shared" si="11"/>
        <v>7129.248</v>
      </c>
      <c r="L19" s="149">
        <f t="shared" si="11"/>
        <v>7343.12544</v>
      </c>
      <c r="M19" s="149">
        <f t="shared" si="11"/>
        <v>7563.419203</v>
      </c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</row>
    <row r="20" ht="15.75" customHeight="1">
      <c r="A20" s="145"/>
      <c r="B20" s="145"/>
      <c r="C20" s="155" t="s">
        <v>173</v>
      </c>
      <c r="D20" s="149"/>
      <c r="E20" s="149"/>
      <c r="F20" s="160"/>
      <c r="G20" s="159"/>
      <c r="H20" s="149">
        <f t="shared" si="7"/>
        <v>0</v>
      </c>
      <c r="I20" s="149"/>
      <c r="J20" s="149">
        <f t="shared" ref="J20:M20" si="12">I20*1.03</f>
        <v>0</v>
      </c>
      <c r="K20" s="149">
        <f t="shared" si="12"/>
        <v>0</v>
      </c>
      <c r="L20" s="149">
        <f t="shared" si="12"/>
        <v>0</v>
      </c>
      <c r="M20" s="149">
        <f t="shared" si="12"/>
        <v>0</v>
      </c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</row>
    <row r="21" ht="15.75" customHeight="1">
      <c r="A21" s="145"/>
      <c r="B21" s="145"/>
      <c r="C21" s="155" t="s">
        <v>174</v>
      </c>
      <c r="D21" s="157"/>
      <c r="E21" s="157"/>
      <c r="F21" s="158">
        <v>2070.99</v>
      </c>
      <c r="G21" s="159"/>
      <c r="H21" s="149">
        <f t="shared" si="7"/>
        <v>0</v>
      </c>
      <c r="I21" s="150">
        <v>2100.0</v>
      </c>
      <c r="J21" s="149">
        <f t="shared" ref="J21:M21" si="13">I21*1.03</f>
        <v>2163</v>
      </c>
      <c r="K21" s="149">
        <f t="shared" si="13"/>
        <v>2227.89</v>
      </c>
      <c r="L21" s="149">
        <f t="shared" si="13"/>
        <v>2294.7267</v>
      </c>
      <c r="M21" s="149">
        <f t="shared" si="13"/>
        <v>2363.568501</v>
      </c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</row>
    <row r="22" ht="15.75" customHeight="1">
      <c r="A22" s="145"/>
      <c r="B22" s="145"/>
      <c r="C22" s="155" t="s">
        <v>175</v>
      </c>
      <c r="D22" s="162"/>
      <c r="E22" s="162"/>
      <c r="F22" s="163">
        <v>54623.0</v>
      </c>
      <c r="G22" s="164"/>
      <c r="H22" s="149">
        <f t="shared" si="7"/>
        <v>0</v>
      </c>
      <c r="I22" s="166"/>
      <c r="J22" s="149">
        <f t="shared" ref="J22:M22" si="14">I22*1.03</f>
        <v>0</v>
      </c>
      <c r="K22" s="149">
        <f t="shared" si="14"/>
        <v>0</v>
      </c>
      <c r="L22" s="149">
        <f t="shared" si="14"/>
        <v>0</v>
      </c>
      <c r="M22" s="149">
        <f t="shared" si="14"/>
        <v>0</v>
      </c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</row>
    <row r="23" ht="15.75" customHeight="1">
      <c r="A23" s="145"/>
      <c r="B23" s="145"/>
      <c r="C23" s="155" t="s">
        <v>176</v>
      </c>
      <c r="D23" s="149"/>
      <c r="E23" s="149"/>
      <c r="F23" s="158">
        <f>725+790+478809.52+720.25-54623</f>
        <v>426421.77</v>
      </c>
      <c r="G23" s="159"/>
      <c r="H23" s="149">
        <f t="shared" si="7"/>
        <v>0</v>
      </c>
      <c r="I23" s="166">
        <v>430000.0</v>
      </c>
      <c r="J23" s="149">
        <f t="shared" ref="J23:M23" si="15">I23*1.03</f>
        <v>442900</v>
      </c>
      <c r="K23" s="149">
        <f t="shared" si="15"/>
        <v>456187</v>
      </c>
      <c r="L23" s="149">
        <f t="shared" si="15"/>
        <v>469872.61</v>
      </c>
      <c r="M23" s="149">
        <f t="shared" si="15"/>
        <v>483968.7883</v>
      </c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</row>
    <row r="24" ht="15.75" customHeight="1">
      <c r="A24" s="145"/>
      <c r="B24" s="145"/>
      <c r="C24" s="155" t="s">
        <v>177</v>
      </c>
      <c r="D24" s="149"/>
      <c r="E24" s="149"/>
      <c r="F24" s="158">
        <v>29512.0</v>
      </c>
      <c r="G24" s="159"/>
      <c r="H24" s="149">
        <f t="shared" si="7"/>
        <v>0</v>
      </c>
      <c r="I24" s="150">
        <v>43200.0</v>
      </c>
      <c r="J24" s="149">
        <f t="shared" ref="J24:M24" si="16">I24*1.03</f>
        <v>44496</v>
      </c>
      <c r="K24" s="149">
        <f t="shared" si="16"/>
        <v>45830.88</v>
      </c>
      <c r="L24" s="149">
        <f t="shared" si="16"/>
        <v>47205.8064</v>
      </c>
      <c r="M24" s="149">
        <f t="shared" si="16"/>
        <v>48621.98059</v>
      </c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</row>
    <row r="25" ht="15.75" customHeight="1">
      <c r="A25" s="145"/>
      <c r="B25" s="145"/>
      <c r="C25" s="155" t="s">
        <v>178</v>
      </c>
      <c r="D25" s="149"/>
      <c r="E25" s="149"/>
      <c r="F25" s="160"/>
      <c r="G25" s="159"/>
      <c r="H25" s="149">
        <f t="shared" si="7"/>
        <v>0</v>
      </c>
      <c r="I25" s="149"/>
      <c r="J25" s="149">
        <f t="shared" ref="J25:M25" si="17">I25*1.03</f>
        <v>0</v>
      </c>
      <c r="K25" s="149">
        <f t="shared" si="17"/>
        <v>0</v>
      </c>
      <c r="L25" s="149">
        <f t="shared" si="17"/>
        <v>0</v>
      </c>
      <c r="M25" s="149">
        <f t="shared" si="17"/>
        <v>0</v>
      </c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</row>
    <row r="26" ht="15.75" customHeight="1">
      <c r="A26" s="145"/>
      <c r="B26" s="145"/>
      <c r="C26" s="155" t="s">
        <v>179</v>
      </c>
      <c r="D26" s="157"/>
      <c r="E26" s="157"/>
      <c r="F26" s="158">
        <f>171.62+5295.66</f>
        <v>5467.28</v>
      </c>
      <c r="G26" s="159"/>
      <c r="H26" s="149">
        <f t="shared" si="7"/>
        <v>0</v>
      </c>
      <c r="I26" s="149"/>
      <c r="J26" s="149">
        <f t="shared" ref="J26:M26" si="18">I26*1.03</f>
        <v>0</v>
      </c>
      <c r="K26" s="149">
        <f t="shared" si="18"/>
        <v>0</v>
      </c>
      <c r="L26" s="149">
        <f t="shared" si="18"/>
        <v>0</v>
      </c>
      <c r="M26" s="149">
        <f t="shared" si="18"/>
        <v>0</v>
      </c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</row>
    <row r="27" ht="15.75" customHeight="1">
      <c r="A27" s="145"/>
      <c r="B27" s="145"/>
      <c r="C27" s="155" t="s">
        <v>180</v>
      </c>
      <c r="D27" s="149"/>
      <c r="E27" s="149"/>
      <c r="F27" s="160"/>
      <c r="G27" s="159"/>
      <c r="H27" s="149">
        <f t="shared" si="7"/>
        <v>0</v>
      </c>
      <c r="I27" s="149"/>
      <c r="J27" s="149">
        <f t="shared" ref="J27:M27" si="19">I27*1.03</f>
        <v>0</v>
      </c>
      <c r="K27" s="149">
        <f t="shared" si="19"/>
        <v>0</v>
      </c>
      <c r="L27" s="149">
        <f t="shared" si="19"/>
        <v>0</v>
      </c>
      <c r="M27" s="149">
        <f t="shared" si="19"/>
        <v>0</v>
      </c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</row>
    <row r="28" ht="15.75" customHeight="1">
      <c r="A28" s="145"/>
      <c r="B28" s="145"/>
      <c r="C28" s="155" t="s">
        <v>181</v>
      </c>
      <c r="D28" s="149"/>
      <c r="E28" s="149"/>
      <c r="F28" s="160"/>
      <c r="G28" s="159"/>
      <c r="H28" s="149">
        <f t="shared" si="7"/>
        <v>0</v>
      </c>
      <c r="I28" s="149"/>
      <c r="J28" s="149">
        <f t="shared" ref="J28:M28" si="20">I28*1.03</f>
        <v>0</v>
      </c>
      <c r="K28" s="149">
        <f t="shared" si="20"/>
        <v>0</v>
      </c>
      <c r="L28" s="149">
        <f t="shared" si="20"/>
        <v>0</v>
      </c>
      <c r="M28" s="149">
        <f t="shared" si="20"/>
        <v>0</v>
      </c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</row>
    <row r="29" ht="15.75" customHeight="1">
      <c r="A29" s="145"/>
      <c r="B29" s="145"/>
      <c r="C29" s="155" t="s">
        <v>182</v>
      </c>
      <c r="D29" s="157"/>
      <c r="E29" s="156"/>
      <c r="F29" s="158">
        <v>13411.22</v>
      </c>
      <c r="G29" s="159"/>
      <c r="H29" s="149">
        <f t="shared" si="7"/>
        <v>0</v>
      </c>
      <c r="I29" s="161">
        <v>12700.0</v>
      </c>
      <c r="J29" s="149">
        <f t="shared" ref="J29:M29" si="21">I29*1.03</f>
        <v>13081</v>
      </c>
      <c r="K29" s="149">
        <f t="shared" si="21"/>
        <v>13473.43</v>
      </c>
      <c r="L29" s="149">
        <f t="shared" si="21"/>
        <v>13877.6329</v>
      </c>
      <c r="M29" s="149">
        <f t="shared" si="21"/>
        <v>14293.96189</v>
      </c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</row>
    <row r="30" ht="15.75" customHeight="1">
      <c r="A30" s="82"/>
      <c r="B30" s="82"/>
      <c r="C30" s="155" t="s">
        <v>183</v>
      </c>
      <c r="D30" s="149"/>
      <c r="E30" s="149"/>
      <c r="F30" s="160"/>
      <c r="G30" s="159"/>
      <c r="H30" s="149">
        <f t="shared" si="7"/>
        <v>0</v>
      </c>
      <c r="I30" s="149"/>
      <c r="J30" s="149">
        <f t="shared" ref="J30:M30" si="22">I30*1.03</f>
        <v>0</v>
      </c>
      <c r="K30" s="149">
        <f t="shared" si="22"/>
        <v>0</v>
      </c>
      <c r="L30" s="149">
        <f t="shared" si="22"/>
        <v>0</v>
      </c>
      <c r="M30" s="149">
        <f t="shared" si="22"/>
        <v>0</v>
      </c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ht="15.75" customHeight="1">
      <c r="A31" s="145"/>
      <c r="B31" s="145"/>
      <c r="C31" s="155" t="s">
        <v>184</v>
      </c>
      <c r="D31" s="149"/>
      <c r="E31" s="149"/>
      <c r="F31" s="160"/>
      <c r="G31" s="159"/>
      <c r="H31" s="149">
        <f t="shared" si="7"/>
        <v>0</v>
      </c>
      <c r="I31" s="149"/>
      <c r="J31" s="149">
        <f t="shared" ref="J31:M31" si="23">I31*1.03</f>
        <v>0</v>
      </c>
      <c r="K31" s="149">
        <f t="shared" si="23"/>
        <v>0</v>
      </c>
      <c r="L31" s="149">
        <f t="shared" si="23"/>
        <v>0</v>
      </c>
      <c r="M31" s="149">
        <f t="shared" si="23"/>
        <v>0</v>
      </c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</row>
    <row r="32" ht="15.75" customHeight="1">
      <c r="A32" s="145"/>
      <c r="B32" s="145"/>
      <c r="C32" s="155" t="s">
        <v>185</v>
      </c>
      <c r="D32" s="157"/>
      <c r="E32" s="168"/>
      <c r="F32" s="160"/>
      <c r="G32" s="159"/>
      <c r="H32" s="149">
        <f t="shared" si="7"/>
        <v>0</v>
      </c>
      <c r="I32" s="149"/>
      <c r="J32" s="149">
        <f t="shared" ref="J32:M32" si="24">I32*1.03</f>
        <v>0</v>
      </c>
      <c r="K32" s="149">
        <f t="shared" si="24"/>
        <v>0</v>
      </c>
      <c r="L32" s="149">
        <f t="shared" si="24"/>
        <v>0</v>
      </c>
      <c r="M32" s="149">
        <f t="shared" si="24"/>
        <v>0</v>
      </c>
      <c r="N32" s="145"/>
      <c r="O32" s="198"/>
      <c r="P32" s="199"/>
      <c r="Q32" s="145"/>
      <c r="R32" s="145"/>
      <c r="S32" s="145"/>
      <c r="T32" s="145"/>
      <c r="U32" s="145"/>
      <c r="V32" s="145"/>
      <c r="W32" s="145"/>
      <c r="X32" s="145"/>
      <c r="Y32" s="145"/>
      <c r="Z32" s="145"/>
    </row>
    <row r="33" ht="15.75" customHeight="1">
      <c r="A33" s="145"/>
      <c r="B33" s="145"/>
      <c r="C33" s="155" t="s">
        <v>186</v>
      </c>
      <c r="D33" s="157"/>
      <c r="E33" s="157"/>
      <c r="F33" s="158">
        <v>1558.37</v>
      </c>
      <c r="G33" s="159"/>
      <c r="H33" s="149">
        <f t="shared" si="7"/>
        <v>0</v>
      </c>
      <c r="I33" s="150">
        <v>3500.0</v>
      </c>
      <c r="J33" s="149">
        <f t="shared" ref="J33:M33" si="25">I33*1.03</f>
        <v>3605</v>
      </c>
      <c r="K33" s="149">
        <f t="shared" si="25"/>
        <v>3713.15</v>
      </c>
      <c r="L33" s="149">
        <f t="shared" si="25"/>
        <v>3824.5445</v>
      </c>
      <c r="M33" s="149">
        <f t="shared" si="25"/>
        <v>3939.280835</v>
      </c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</row>
    <row r="34" ht="15.75" customHeight="1">
      <c r="A34" s="145"/>
      <c r="B34" s="145"/>
      <c r="C34" s="155" t="s">
        <v>187</v>
      </c>
      <c r="D34" s="168"/>
      <c r="E34" s="157"/>
      <c r="F34" s="158">
        <v>7642.79</v>
      </c>
      <c r="G34" s="159"/>
      <c r="H34" s="149">
        <f t="shared" si="7"/>
        <v>0</v>
      </c>
      <c r="I34" s="166">
        <v>5000.0</v>
      </c>
      <c r="J34" s="149">
        <f t="shared" ref="J34:M34" si="26">I34*1.03</f>
        <v>5150</v>
      </c>
      <c r="K34" s="149">
        <f t="shared" si="26"/>
        <v>5304.5</v>
      </c>
      <c r="L34" s="149">
        <f t="shared" si="26"/>
        <v>5463.635</v>
      </c>
      <c r="M34" s="149">
        <f t="shared" si="26"/>
        <v>5627.54405</v>
      </c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</row>
    <row r="35" ht="15.75" customHeight="1">
      <c r="A35" s="145"/>
      <c r="B35" s="145"/>
      <c r="C35" s="155" t="s">
        <v>188</v>
      </c>
      <c r="D35" s="157"/>
      <c r="E35" s="157"/>
      <c r="F35" s="158">
        <v>15182.56</v>
      </c>
      <c r="G35" s="159"/>
      <c r="H35" s="149">
        <f t="shared" si="7"/>
        <v>0</v>
      </c>
      <c r="I35" s="149"/>
      <c r="J35" s="149">
        <f t="shared" ref="J35:M35" si="27">I35*1.03</f>
        <v>0</v>
      </c>
      <c r="K35" s="149">
        <f t="shared" si="27"/>
        <v>0</v>
      </c>
      <c r="L35" s="149">
        <f t="shared" si="27"/>
        <v>0</v>
      </c>
      <c r="M35" s="149">
        <f t="shared" si="27"/>
        <v>0</v>
      </c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</row>
    <row r="36" ht="15.75" customHeight="1">
      <c r="A36" s="145"/>
      <c r="B36" s="145"/>
      <c r="C36" s="155" t="s">
        <v>189</v>
      </c>
      <c r="D36" s="149"/>
      <c r="E36" s="149"/>
      <c r="F36" s="160"/>
      <c r="G36" s="159"/>
      <c r="H36" s="149">
        <f t="shared" si="7"/>
        <v>0</v>
      </c>
      <c r="I36" s="149"/>
      <c r="J36" s="149">
        <f t="shared" ref="J36:M36" si="28">I36*1.03</f>
        <v>0</v>
      </c>
      <c r="K36" s="149">
        <f t="shared" si="28"/>
        <v>0</v>
      </c>
      <c r="L36" s="149">
        <f t="shared" si="28"/>
        <v>0</v>
      </c>
      <c r="M36" s="149">
        <f t="shared" si="28"/>
        <v>0</v>
      </c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</row>
    <row r="37" ht="15.75" customHeight="1">
      <c r="A37" s="145"/>
      <c r="B37" s="145"/>
      <c r="C37" s="155" t="s">
        <v>190</v>
      </c>
      <c r="D37" s="157"/>
      <c r="E37" s="157"/>
      <c r="F37" s="158">
        <v>49947.72</v>
      </c>
      <c r="G37" s="159"/>
      <c r="H37" s="149">
        <f t="shared" si="7"/>
        <v>0</v>
      </c>
      <c r="I37" s="150">
        <v>55000.0</v>
      </c>
      <c r="J37" s="149">
        <f t="shared" ref="J37:M37" si="29">I37*1.03</f>
        <v>56650</v>
      </c>
      <c r="K37" s="149">
        <f t="shared" si="29"/>
        <v>58349.5</v>
      </c>
      <c r="L37" s="149">
        <f t="shared" si="29"/>
        <v>60099.985</v>
      </c>
      <c r="M37" s="149">
        <f t="shared" si="29"/>
        <v>61902.98455</v>
      </c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</row>
    <row r="38" ht="15.75" customHeight="1">
      <c r="A38" s="145"/>
      <c r="B38" s="145"/>
      <c r="C38" s="155" t="s">
        <v>191</v>
      </c>
      <c r="D38" s="156"/>
      <c r="E38" s="157"/>
      <c r="F38" s="158">
        <v>26115.45</v>
      </c>
      <c r="G38" s="159"/>
      <c r="H38" s="149">
        <f t="shared" si="7"/>
        <v>0</v>
      </c>
      <c r="I38" s="150">
        <v>12400.0</v>
      </c>
      <c r="J38" s="149">
        <f t="shared" ref="J38:M38" si="30">I38*1.03</f>
        <v>12772</v>
      </c>
      <c r="K38" s="149">
        <f t="shared" si="30"/>
        <v>13155.16</v>
      </c>
      <c r="L38" s="149">
        <f t="shared" si="30"/>
        <v>13549.8148</v>
      </c>
      <c r="M38" s="149">
        <f t="shared" si="30"/>
        <v>13956.30924</v>
      </c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</row>
    <row r="39" ht="15.75" customHeight="1">
      <c r="A39" s="145"/>
      <c r="B39" s="145"/>
      <c r="C39" s="155" t="s">
        <v>192</v>
      </c>
      <c r="D39" s="157"/>
      <c r="E39" s="157"/>
      <c r="F39" s="160"/>
      <c r="G39" s="159"/>
      <c r="H39" s="149">
        <f t="shared" si="7"/>
        <v>0</v>
      </c>
      <c r="I39" s="166">
        <v>5000.0</v>
      </c>
      <c r="J39" s="149">
        <f t="shared" ref="J39:M39" si="31">I39*1.03</f>
        <v>5150</v>
      </c>
      <c r="K39" s="149">
        <f t="shared" si="31"/>
        <v>5304.5</v>
      </c>
      <c r="L39" s="149">
        <f t="shared" si="31"/>
        <v>5463.635</v>
      </c>
      <c r="M39" s="149">
        <f t="shared" si="31"/>
        <v>5627.54405</v>
      </c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</row>
    <row r="40" ht="15.75" customHeight="1">
      <c r="A40" s="145"/>
      <c r="B40" s="145"/>
      <c r="C40" s="155" t="s">
        <v>193</v>
      </c>
      <c r="D40" s="157"/>
      <c r="E40" s="157"/>
      <c r="F40" s="160"/>
      <c r="G40" s="159"/>
      <c r="H40" s="149">
        <f t="shared" si="7"/>
        <v>0</v>
      </c>
      <c r="I40" s="167"/>
      <c r="J40" s="149">
        <f t="shared" ref="J40:M40" si="32">I40*1.03</f>
        <v>0</v>
      </c>
      <c r="K40" s="149">
        <f t="shared" si="32"/>
        <v>0</v>
      </c>
      <c r="L40" s="149">
        <f t="shared" si="32"/>
        <v>0</v>
      </c>
      <c r="M40" s="149">
        <f t="shared" si="32"/>
        <v>0</v>
      </c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</row>
    <row r="41" ht="15.75" customHeight="1">
      <c r="A41" s="145"/>
      <c r="B41" s="145"/>
      <c r="C41" s="155" t="s">
        <v>194</v>
      </c>
      <c r="D41" s="149"/>
      <c r="E41" s="149"/>
      <c r="F41" s="158">
        <v>23048.34</v>
      </c>
      <c r="G41" s="159"/>
      <c r="H41" s="149">
        <f t="shared" si="7"/>
        <v>0</v>
      </c>
      <c r="I41" s="150">
        <v>19900.0</v>
      </c>
      <c r="J41" s="149">
        <f t="shared" ref="J41:M41" si="33">I41*1.03</f>
        <v>20497</v>
      </c>
      <c r="K41" s="149">
        <f t="shared" si="33"/>
        <v>21111.91</v>
      </c>
      <c r="L41" s="149">
        <f t="shared" si="33"/>
        <v>21745.2673</v>
      </c>
      <c r="M41" s="149">
        <f t="shared" si="33"/>
        <v>22397.62532</v>
      </c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</row>
    <row r="42" ht="15.75" customHeight="1">
      <c r="A42" s="145"/>
      <c r="B42" s="145"/>
      <c r="C42" s="155" t="s">
        <v>195</v>
      </c>
      <c r="D42" s="149"/>
      <c r="E42" s="149"/>
      <c r="F42" s="160"/>
      <c r="G42" s="159"/>
      <c r="H42" s="149">
        <f t="shared" si="7"/>
        <v>0</v>
      </c>
      <c r="I42" s="167"/>
      <c r="J42" s="149">
        <v>-45000.0</v>
      </c>
      <c r="K42" s="149">
        <v>-44999.0</v>
      </c>
      <c r="L42" s="149">
        <v>-44998.0</v>
      </c>
      <c r="M42" s="149">
        <v>-44997.0</v>
      </c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</row>
    <row r="43" ht="15.75" customHeight="1">
      <c r="A43" s="145"/>
      <c r="B43" s="145"/>
      <c r="C43" s="155" t="s">
        <v>196</v>
      </c>
      <c r="D43" s="149"/>
      <c r="E43" s="149"/>
      <c r="F43" s="158">
        <f>3963.42+6</f>
        <v>3969.42</v>
      </c>
      <c r="G43" s="159"/>
      <c r="H43" s="149">
        <f t="shared" si="7"/>
        <v>0</v>
      </c>
      <c r="I43" s="149"/>
      <c r="J43" s="149">
        <f t="shared" ref="J43:M43" si="34">I43*1.03</f>
        <v>0</v>
      </c>
      <c r="K43" s="149">
        <f t="shared" si="34"/>
        <v>0</v>
      </c>
      <c r="L43" s="149">
        <f t="shared" si="34"/>
        <v>0</v>
      </c>
      <c r="M43" s="149">
        <f t="shared" si="34"/>
        <v>0</v>
      </c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</row>
    <row r="44" ht="15.75" customHeight="1">
      <c r="A44" s="145"/>
      <c r="B44" s="145"/>
      <c r="C44" s="155" t="s">
        <v>197</v>
      </c>
      <c r="D44" s="157"/>
      <c r="E44" s="157"/>
      <c r="F44" s="158">
        <v>26719.1</v>
      </c>
      <c r="G44" s="159"/>
      <c r="H44" s="149">
        <f t="shared" si="7"/>
        <v>0</v>
      </c>
      <c r="I44" s="150">
        <v>27500.0</v>
      </c>
      <c r="J44" s="149">
        <f t="shared" ref="J44:M44" si="35">I44*1.03</f>
        <v>28325</v>
      </c>
      <c r="K44" s="149">
        <f t="shared" si="35"/>
        <v>29174.75</v>
      </c>
      <c r="L44" s="149">
        <f t="shared" si="35"/>
        <v>30049.9925</v>
      </c>
      <c r="M44" s="149">
        <f t="shared" si="35"/>
        <v>30951.49228</v>
      </c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</row>
    <row r="45" ht="15.75" customHeight="1">
      <c r="A45" s="145"/>
      <c r="B45" s="145"/>
      <c r="C45" s="155" t="s">
        <v>198</v>
      </c>
      <c r="D45" s="157"/>
      <c r="E45" s="157"/>
      <c r="F45" s="158">
        <f>650+99.59+136.15+4416.31+246.61+238+3.31</f>
        <v>5789.97</v>
      </c>
      <c r="G45" s="159"/>
      <c r="H45" s="149">
        <f t="shared" si="7"/>
        <v>0</v>
      </c>
      <c r="I45" s="150">
        <v>1500.0</v>
      </c>
      <c r="J45" s="149">
        <f t="shared" ref="J45:M45" si="36">I45*1.03</f>
        <v>1545</v>
      </c>
      <c r="K45" s="149">
        <f t="shared" si="36"/>
        <v>1591.35</v>
      </c>
      <c r="L45" s="149">
        <f t="shared" si="36"/>
        <v>1639.0905</v>
      </c>
      <c r="M45" s="149">
        <f t="shared" si="36"/>
        <v>1688.263215</v>
      </c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</row>
    <row r="46" ht="15.75" customHeight="1">
      <c r="A46" s="145"/>
      <c r="B46" s="145"/>
      <c r="C46" s="169" t="s">
        <v>199</v>
      </c>
      <c r="D46" s="170">
        <f t="shared" ref="D46:M46" si="37">SUM(D15:D45)</f>
        <v>0</v>
      </c>
      <c r="E46" s="170">
        <f t="shared" si="37"/>
        <v>0</v>
      </c>
      <c r="F46" s="170">
        <f t="shared" si="37"/>
        <v>706323.88</v>
      </c>
      <c r="G46" s="170">
        <f t="shared" si="37"/>
        <v>0</v>
      </c>
      <c r="H46" s="170">
        <f t="shared" si="37"/>
        <v>0</v>
      </c>
      <c r="I46" s="170">
        <f t="shared" si="37"/>
        <v>629420</v>
      </c>
      <c r="J46" s="170">
        <f t="shared" si="37"/>
        <v>603302.6</v>
      </c>
      <c r="K46" s="170">
        <f t="shared" si="37"/>
        <v>622752.678</v>
      </c>
      <c r="L46" s="170">
        <f t="shared" si="37"/>
        <v>642786.2283</v>
      </c>
      <c r="M46" s="170">
        <f t="shared" si="37"/>
        <v>663420.7552</v>
      </c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</row>
    <row r="47" ht="15.75" customHeight="1">
      <c r="A47" s="145"/>
      <c r="B47" s="145"/>
      <c r="C47" s="169" t="s">
        <v>26</v>
      </c>
      <c r="D47" s="170">
        <f t="shared" ref="D47:M47" si="38">D12-D46</f>
        <v>0</v>
      </c>
      <c r="E47" s="170">
        <f t="shared" si="38"/>
        <v>0</v>
      </c>
      <c r="F47" s="170">
        <f t="shared" si="38"/>
        <v>141881.34</v>
      </c>
      <c r="G47" s="170">
        <f t="shared" si="38"/>
        <v>0</v>
      </c>
      <c r="H47" s="170">
        <f t="shared" si="38"/>
        <v>0</v>
      </c>
      <c r="I47" s="170">
        <f t="shared" si="38"/>
        <v>247080</v>
      </c>
      <c r="J47" s="170">
        <f t="shared" si="38"/>
        <v>301117.4</v>
      </c>
      <c r="K47" s="170">
        <f t="shared" si="38"/>
        <v>310764.922</v>
      </c>
      <c r="L47" s="170">
        <f t="shared" si="38"/>
        <v>321109.8997</v>
      </c>
      <c r="M47" s="170">
        <f t="shared" si="38"/>
        <v>332254.8566</v>
      </c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</row>
    <row r="48" ht="5.25" customHeight="1">
      <c r="C48" s="171"/>
      <c r="D48" s="149"/>
      <c r="E48" s="149"/>
      <c r="F48" s="149"/>
      <c r="G48" s="149"/>
      <c r="H48" s="149"/>
      <c r="I48" s="149"/>
      <c r="J48" s="149"/>
      <c r="K48" s="149"/>
      <c r="L48" s="149"/>
      <c r="M48" s="149"/>
    </row>
    <row r="49" ht="19.5" customHeight="1">
      <c r="C49" s="172" t="s">
        <v>200</v>
      </c>
      <c r="D49" s="173">
        <f>D47/'Deal Overview'!$C$5</f>
        <v>0</v>
      </c>
      <c r="E49" s="173">
        <f>E47/'Deal Overview'!$C$5</f>
        <v>0</v>
      </c>
      <c r="F49" s="173">
        <f>F47/'Deal Overview'!$C$5</f>
        <v>0.06921040976</v>
      </c>
      <c r="G49" s="173">
        <f>G47/'Deal Overview'!$C$5</f>
        <v>0</v>
      </c>
      <c r="H49" s="173">
        <f>H47/'Deal Overview'!$C$5</f>
        <v>0</v>
      </c>
      <c r="I49" s="173">
        <f>I47/'Deal Overview'!$C$5</f>
        <v>0.1205268293</v>
      </c>
      <c r="J49" s="173">
        <f>J47/'Deal Overview'!$C$5</f>
        <v>0.1468865366</v>
      </c>
      <c r="K49" s="173">
        <f>K47/'Deal Overview'!$C$5</f>
        <v>0.1515926449</v>
      </c>
      <c r="L49" s="173">
        <f>L47/'Deal Overview'!$C$5</f>
        <v>0.1566389754</v>
      </c>
      <c r="M49" s="173">
        <f>M47/'Deal Overview'!$C$5</f>
        <v>0.1620755398</v>
      </c>
    </row>
    <row r="50" ht="18.0" customHeight="1">
      <c r="A50" s="145"/>
      <c r="B50" s="145"/>
      <c r="C50" s="174" t="s">
        <v>201</v>
      </c>
      <c r="D50" s="173" t="str">
        <f t="shared" ref="D50:M50" si="39">D46/D12</f>
        <v>#DIV/0!</v>
      </c>
      <c r="E50" s="173" t="str">
        <f t="shared" si="39"/>
        <v>#DIV/0!</v>
      </c>
      <c r="F50" s="173">
        <f t="shared" si="39"/>
        <v>0.8327275798</v>
      </c>
      <c r="G50" s="173" t="str">
        <f t="shared" si="39"/>
        <v>#DIV/0!</v>
      </c>
      <c r="H50" s="173" t="str">
        <f t="shared" si="39"/>
        <v>#DIV/0!</v>
      </c>
      <c r="I50" s="173">
        <f t="shared" si="39"/>
        <v>0.7181061038</v>
      </c>
      <c r="J50" s="173">
        <f t="shared" si="39"/>
        <v>0.6670602154</v>
      </c>
      <c r="K50" s="173">
        <f t="shared" si="39"/>
        <v>0.6671033069</v>
      </c>
      <c r="L50" s="173">
        <f t="shared" si="39"/>
        <v>0.6668625484</v>
      </c>
      <c r="M50" s="173">
        <f t="shared" si="39"/>
        <v>0.6663021041</v>
      </c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</row>
    <row r="51" ht="18.0" customHeight="1">
      <c r="A51" s="145"/>
      <c r="B51" s="145"/>
      <c r="C51" s="175" t="s">
        <v>202</v>
      </c>
      <c r="D51" s="149"/>
      <c r="E51" s="149"/>
      <c r="F51" s="149"/>
      <c r="G51" s="149"/>
      <c r="H51" s="149"/>
      <c r="I51" s="176">
        <f>I12*0.01</f>
        <v>8765</v>
      </c>
      <c r="J51" s="176">
        <f t="shared" ref="J51:M51" si="40">I51</f>
        <v>8765</v>
      </c>
      <c r="K51" s="176">
        <f t="shared" si="40"/>
        <v>8765</v>
      </c>
      <c r="L51" s="176">
        <f t="shared" si="40"/>
        <v>8765</v>
      </c>
      <c r="M51" s="176">
        <f t="shared" si="40"/>
        <v>8765</v>
      </c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</row>
    <row r="52" ht="15.75" customHeight="1">
      <c r="C52" s="138" t="s">
        <v>203</v>
      </c>
      <c r="D52" s="177"/>
      <c r="E52" s="177"/>
      <c r="F52" s="177"/>
      <c r="G52" s="177"/>
      <c r="H52" s="177"/>
      <c r="I52" s="178">
        <f>'Sources and Uses'!J9</f>
        <v>132796.3813</v>
      </c>
      <c r="J52" s="179">
        <f t="shared" ref="J52:M52" si="41">I52</f>
        <v>132796.3813</v>
      </c>
      <c r="K52" s="179">
        <f t="shared" si="41"/>
        <v>132796.3813</v>
      </c>
      <c r="L52" s="179">
        <f t="shared" si="41"/>
        <v>132796.3813</v>
      </c>
      <c r="M52" s="180">
        <f t="shared" si="41"/>
        <v>132796.3813</v>
      </c>
    </row>
    <row r="53" ht="15.75" customHeight="1">
      <c r="C53" s="145" t="s">
        <v>204</v>
      </c>
      <c r="I53" s="181">
        <f t="shared" ref="I53:M53" si="42">I12*0.01</f>
        <v>8765</v>
      </c>
      <c r="J53" s="182">
        <f t="shared" si="42"/>
        <v>9044.2</v>
      </c>
      <c r="K53" s="182">
        <f t="shared" si="42"/>
        <v>9335.176</v>
      </c>
      <c r="L53" s="182">
        <f t="shared" si="42"/>
        <v>9638.96128</v>
      </c>
      <c r="M53" s="183">
        <f t="shared" si="42"/>
        <v>9956.756118</v>
      </c>
    </row>
    <row r="54" ht="15.75" customHeight="1">
      <c r="C54" s="145" t="s">
        <v>180</v>
      </c>
      <c r="H54" s="200">
        <v>0.03</v>
      </c>
      <c r="I54" s="181">
        <f t="shared" ref="I54:M54" si="43">I12*$H$54</f>
        <v>26295</v>
      </c>
      <c r="J54" s="182">
        <f t="shared" si="43"/>
        <v>27132.6</v>
      </c>
      <c r="K54" s="182">
        <f t="shared" si="43"/>
        <v>28005.528</v>
      </c>
      <c r="L54" s="182">
        <f t="shared" si="43"/>
        <v>28916.88384</v>
      </c>
      <c r="M54" s="183">
        <f t="shared" si="43"/>
        <v>29870.26836</v>
      </c>
    </row>
    <row r="55" ht="15.75" customHeight="1">
      <c r="C55" s="145" t="s">
        <v>205</v>
      </c>
      <c r="I55" s="181">
        <f t="shared" ref="I55:M55" si="44">I47-I51-I52-I53-I54</f>
        <v>70458.61871</v>
      </c>
      <c r="J55" s="182">
        <f t="shared" si="44"/>
        <v>123379.2187</v>
      </c>
      <c r="K55" s="182">
        <f t="shared" si="44"/>
        <v>131862.8367</v>
      </c>
      <c r="L55" s="182">
        <f t="shared" si="44"/>
        <v>140992.6732</v>
      </c>
      <c r="M55" s="183">
        <f t="shared" si="44"/>
        <v>150866.4509</v>
      </c>
    </row>
    <row r="56" ht="15.75" customHeight="1">
      <c r="C56" s="145" t="s">
        <v>206</v>
      </c>
      <c r="D56" s="185">
        <f>D55/'Deal Overview'!$C$8</f>
        <v>0</v>
      </c>
      <c r="E56" s="185">
        <f>E55/'Deal Overview'!$C$8</f>
        <v>0</v>
      </c>
      <c r="F56" s="185">
        <f>F55/'Deal Overview'!$C$8</f>
        <v>0</v>
      </c>
      <c r="G56" s="185">
        <f>G55/'Deal Overview'!$C$8</f>
        <v>0</v>
      </c>
      <c r="H56" s="185">
        <f>H55/'Deal Overview'!$C$8</f>
        <v>0</v>
      </c>
      <c r="I56" s="186">
        <f>I55/'Deal Overview'!$C$8</f>
        <v>0.1193404788</v>
      </c>
      <c r="J56" s="187">
        <f>J55/'Deal Overview'!$C$8</f>
        <v>0.2089756414</v>
      </c>
      <c r="K56" s="187">
        <f>K55/'Deal Overview'!$C$8</f>
        <v>0.2233449131</v>
      </c>
      <c r="L56" s="187">
        <f>L55/'Deal Overview'!$C$8</f>
        <v>0.2388087284</v>
      </c>
      <c r="M56" s="188">
        <f>M55/'Deal Overview'!$C$8</f>
        <v>0.2555326065</v>
      </c>
    </row>
    <row r="57" ht="15.75" customHeight="1">
      <c r="C57" s="94" t="s">
        <v>60</v>
      </c>
      <c r="I57" s="189" t="str">
        <f>'Sources and Uses'!L8</f>
        <v>Total Principal Reduction</v>
      </c>
      <c r="J57" s="189">
        <f>'Sources and Uses'!M8</f>
        <v>-27022.23944</v>
      </c>
      <c r="K57" s="189">
        <f>'Sources and Uses'!N8</f>
        <v>-28835.06824</v>
      </c>
      <c r="L57" s="189">
        <f>'Sources and Uses'!O8</f>
        <v>-30769.6124</v>
      </c>
      <c r="M57" s="189">
        <f>'Sources and Uses'!P8</f>
        <v>-32834.05075</v>
      </c>
    </row>
    <row r="58" ht="15.75" customHeight="1">
      <c r="C58" s="94" t="s">
        <v>77</v>
      </c>
      <c r="I58" s="190" t="str">
        <f>'Sources and Uses'!L9</f>
        <v>Loan Balance</v>
      </c>
      <c r="J58" s="189">
        <f>'Sources and Uses'!M9</f>
        <v>1612977.761</v>
      </c>
      <c r="K58" s="189">
        <f>'Sources and Uses'!N9</f>
        <v>1584142.692</v>
      </c>
      <c r="L58" s="189">
        <f>'Sources and Uses'!O9</f>
        <v>1553373.08</v>
      </c>
      <c r="M58" s="189">
        <f>'Sources and Uses'!P9</f>
        <v>1520539.029</v>
      </c>
    </row>
    <row r="59" ht="15.75" customHeight="1">
      <c r="C59" s="94" t="s">
        <v>207</v>
      </c>
      <c r="I59" s="189">
        <f t="shared" ref="I59:M59" si="45">I47/0.08</f>
        <v>3088500</v>
      </c>
      <c r="J59" s="189">
        <f t="shared" si="45"/>
        <v>3763967.5</v>
      </c>
      <c r="K59" s="189">
        <f t="shared" si="45"/>
        <v>3884561.525</v>
      </c>
      <c r="L59" s="189">
        <f t="shared" si="45"/>
        <v>4013873.746</v>
      </c>
      <c r="M59" s="189">
        <f t="shared" si="45"/>
        <v>4153185.708</v>
      </c>
    </row>
    <row r="60" ht="15.75" customHeight="1">
      <c r="C60" s="94" t="s">
        <v>208</v>
      </c>
      <c r="I60" s="189">
        <f t="shared" ref="I60:M60" si="46">I59*0.06</f>
        <v>185310</v>
      </c>
      <c r="J60" s="189">
        <f t="shared" si="46"/>
        <v>225838.05</v>
      </c>
      <c r="K60" s="189">
        <f t="shared" si="46"/>
        <v>233073.6915</v>
      </c>
      <c r="L60" s="189">
        <f t="shared" si="46"/>
        <v>240832.4247</v>
      </c>
      <c r="M60" s="189">
        <f t="shared" si="46"/>
        <v>249191.1425</v>
      </c>
    </row>
    <row r="61" ht="15.75" customHeight="1">
      <c r="C61" s="94" t="s">
        <v>209</v>
      </c>
      <c r="I61" s="189" t="str">
        <f t="shared" ref="I61:M61" si="47">I59-I60-I58</f>
        <v>#VALUE!</v>
      </c>
      <c r="J61" s="189">
        <f t="shared" si="47"/>
        <v>1925151.689</v>
      </c>
      <c r="K61" s="189">
        <f t="shared" si="47"/>
        <v>2067345.141</v>
      </c>
      <c r="L61" s="189">
        <f t="shared" si="47"/>
        <v>2219668.241</v>
      </c>
      <c r="M61" s="189">
        <f t="shared" si="47"/>
        <v>2383455.536</v>
      </c>
    </row>
    <row r="62" ht="15.75" customHeight="1">
      <c r="C62" s="94" t="s">
        <v>210</v>
      </c>
      <c r="D62" s="191">
        <v>0.08</v>
      </c>
      <c r="E62" s="182"/>
      <c r="F62" s="182"/>
      <c r="I62" s="189">
        <f>'Sources and Uses'!$D$13*$D$62</f>
        <v>47232</v>
      </c>
      <c r="J62" s="189">
        <f>'Sources and Uses'!$D$13*$D$62</f>
        <v>47232</v>
      </c>
      <c r="K62" s="189">
        <f>'Sources and Uses'!$D$13*$D$62</f>
        <v>47232</v>
      </c>
      <c r="L62" s="189">
        <f>'Sources and Uses'!$D$13*$D$62</f>
        <v>47232</v>
      </c>
      <c r="M62" s="189">
        <f>'Sources and Uses'!$D$13*$D$62</f>
        <v>47232</v>
      </c>
    </row>
    <row r="63" ht="15.75" customHeight="1">
      <c r="C63" s="94" t="s">
        <v>35</v>
      </c>
      <c r="D63" s="191">
        <v>0.5</v>
      </c>
      <c r="E63" s="182"/>
      <c r="F63" s="182"/>
      <c r="I63" s="189">
        <f t="shared" ref="I63:M63" si="48">if((I55-I62)&gt;0,(I55-I62)/2,0)</f>
        <v>11613.30935</v>
      </c>
      <c r="J63" s="189">
        <f t="shared" si="48"/>
        <v>38073.60935</v>
      </c>
      <c r="K63" s="189">
        <f t="shared" si="48"/>
        <v>42315.41835</v>
      </c>
      <c r="L63" s="189">
        <f t="shared" si="48"/>
        <v>46880.33662</v>
      </c>
      <c r="M63" s="189">
        <f t="shared" si="48"/>
        <v>51817.22544</v>
      </c>
    </row>
    <row r="64" ht="15.75" customHeight="1">
      <c r="C64" s="94" t="s">
        <v>211</v>
      </c>
      <c r="D64" s="182"/>
      <c r="E64" s="182"/>
      <c r="F64" s="182"/>
      <c r="I64" s="192">
        <f t="shared" ref="I64:M64" si="49">I55-I63</f>
        <v>58845.30935</v>
      </c>
      <c r="J64" s="192">
        <f t="shared" si="49"/>
        <v>85305.60935</v>
      </c>
      <c r="K64" s="192">
        <f t="shared" si="49"/>
        <v>89547.41835</v>
      </c>
      <c r="L64" s="192">
        <f t="shared" si="49"/>
        <v>94112.33662</v>
      </c>
      <c r="M64" s="192">
        <f t="shared" si="49"/>
        <v>99049.22544</v>
      </c>
    </row>
    <row r="65" ht="15.75" customHeight="1">
      <c r="C65" s="94" t="s">
        <v>212</v>
      </c>
      <c r="D65" s="182"/>
      <c r="E65" s="182"/>
      <c r="F65" s="182"/>
      <c r="I65" s="99">
        <f>I64/'Sources and Uses'!$D$13</f>
        <v>0.09967023942</v>
      </c>
      <c r="J65" s="99">
        <f>J64/'Sources and Uses'!$D$13</f>
        <v>0.1444878207</v>
      </c>
      <c r="K65" s="99">
        <f>K64/'Sources and Uses'!$D$13</f>
        <v>0.1516724566</v>
      </c>
      <c r="L65" s="99">
        <f>L64/'Sources and Uses'!$D$13</f>
        <v>0.1594043642</v>
      </c>
      <c r="M65" s="99">
        <f>M64/'Sources and Uses'!$D$13</f>
        <v>0.1677663033</v>
      </c>
    </row>
    <row r="66" ht="15.75" customHeight="1">
      <c r="D66" s="182"/>
      <c r="E66" s="182"/>
      <c r="F66" s="182"/>
      <c r="O66" s="94"/>
    </row>
    <row r="67" ht="15.75" customHeight="1">
      <c r="C67" s="94" t="s">
        <v>213</v>
      </c>
      <c r="D67" s="182"/>
      <c r="E67" s="182"/>
      <c r="F67" s="182"/>
      <c r="O67" s="94"/>
    </row>
    <row r="68" ht="15.75" customHeight="1">
      <c r="C68" s="94" t="s">
        <v>214</v>
      </c>
      <c r="D68" s="182"/>
      <c r="E68" s="182"/>
      <c r="F68" s="182"/>
      <c r="I68" s="189">
        <f t="shared" ref="I68:M68" si="50">I63</f>
        <v>11613.30935</v>
      </c>
      <c r="J68" s="189">
        <f t="shared" si="50"/>
        <v>38073.60935</v>
      </c>
      <c r="K68" s="189">
        <f t="shared" si="50"/>
        <v>42315.41835</v>
      </c>
      <c r="L68" s="189">
        <f t="shared" si="50"/>
        <v>46880.33662</v>
      </c>
      <c r="M68" s="189">
        <f t="shared" si="50"/>
        <v>51817.22544</v>
      </c>
      <c r="O68" s="94"/>
    </row>
    <row r="69" ht="15.75" customHeight="1">
      <c r="C69" s="94" t="s">
        <v>215</v>
      </c>
      <c r="D69" s="182"/>
      <c r="E69" s="182"/>
      <c r="F69" s="182"/>
      <c r="M69" s="189">
        <f>M59*0.03</f>
        <v>124595.5712</v>
      </c>
      <c r="O69" s="94"/>
    </row>
    <row r="70" ht="15.75" customHeight="1">
      <c r="C70" s="94" t="s">
        <v>216</v>
      </c>
      <c r="D70" s="182"/>
      <c r="E70" s="182"/>
      <c r="F70" s="182"/>
      <c r="I70" s="190">
        <f>'Sources and Uses'!D18</f>
        <v>16400</v>
      </c>
      <c r="O70" s="94"/>
    </row>
    <row r="71" ht="15.75" customHeight="1">
      <c r="C71" s="94" t="s">
        <v>204</v>
      </c>
      <c r="D71" s="182"/>
      <c r="E71" s="182"/>
      <c r="F71" s="182"/>
      <c r="I71" s="192">
        <f t="shared" ref="I71:M71" si="51">I53</f>
        <v>8765</v>
      </c>
      <c r="J71" s="192">
        <f t="shared" si="51"/>
        <v>9044.2</v>
      </c>
      <c r="K71" s="192">
        <f t="shared" si="51"/>
        <v>9335.176</v>
      </c>
      <c r="L71" s="192">
        <f t="shared" si="51"/>
        <v>9638.96128</v>
      </c>
      <c r="M71" s="192">
        <f t="shared" si="51"/>
        <v>9956.756118</v>
      </c>
      <c r="O71" s="94"/>
    </row>
    <row r="72" ht="15.75" customHeight="1">
      <c r="C72" s="94" t="s">
        <v>217</v>
      </c>
      <c r="D72" s="182"/>
      <c r="E72" s="182"/>
      <c r="F72" s="182"/>
      <c r="M72" s="189">
        <f>(M61-'Sources and Uses'!D13)*D63</f>
        <v>896527.7682</v>
      </c>
      <c r="O72" s="94"/>
    </row>
    <row r="73" ht="15.75" customHeight="1">
      <c r="C73" s="94" t="s">
        <v>12</v>
      </c>
      <c r="D73" s="182">
        <f>sum(I68:M72)</f>
        <v>1274963.332</v>
      </c>
      <c r="E73" s="182"/>
      <c r="F73" s="182"/>
      <c r="O73" s="94"/>
    </row>
    <row r="74" ht="15.75" customHeight="1">
      <c r="D74" s="182"/>
      <c r="E74" s="182"/>
      <c r="F74" s="182"/>
      <c r="O74" s="94"/>
    </row>
    <row r="75" ht="15.75" customHeight="1">
      <c r="D75" s="182"/>
      <c r="E75" s="182"/>
      <c r="F75" s="182"/>
      <c r="O75" s="94"/>
    </row>
    <row r="76" ht="15.75" customHeight="1">
      <c r="D76" s="182"/>
      <c r="E76" s="182"/>
      <c r="F76" s="182"/>
      <c r="O76" s="94"/>
    </row>
    <row r="77" ht="15.75" customHeight="1">
      <c r="D77" s="182"/>
      <c r="E77" s="182"/>
      <c r="F77" s="182"/>
      <c r="O77" s="94"/>
    </row>
    <row r="78" ht="15.75" customHeight="1">
      <c r="D78" s="182"/>
      <c r="E78" s="182"/>
      <c r="F78" s="182"/>
      <c r="O78" s="94"/>
    </row>
    <row r="79" ht="15.75" customHeight="1">
      <c r="D79" s="182"/>
      <c r="E79" s="182"/>
      <c r="F79" s="182"/>
      <c r="O79" s="94"/>
    </row>
    <row r="80" ht="15.75" customHeight="1">
      <c r="D80" s="182"/>
      <c r="E80" s="182"/>
      <c r="F80" s="182"/>
      <c r="O80" s="94"/>
    </row>
    <row r="81" ht="15.75" customHeight="1">
      <c r="D81" s="182"/>
      <c r="E81" s="182"/>
      <c r="F81" s="182"/>
      <c r="O81" s="94"/>
    </row>
    <row r="82" ht="15.75" customHeight="1">
      <c r="D82" s="182"/>
      <c r="E82" s="182"/>
      <c r="F82" s="182"/>
      <c r="O82" s="94"/>
    </row>
    <row r="83" ht="15.75" customHeight="1">
      <c r="D83" s="182"/>
      <c r="E83" s="182"/>
      <c r="F83" s="182"/>
      <c r="O83" s="94"/>
    </row>
    <row r="84" ht="15.75" customHeight="1">
      <c r="D84" s="182"/>
      <c r="E84" s="182"/>
      <c r="F84" s="182"/>
      <c r="O84" s="94"/>
    </row>
    <row r="85" ht="15.75" customHeight="1">
      <c r="D85" s="182"/>
      <c r="E85" s="182"/>
      <c r="F85" s="182"/>
      <c r="O85" s="94"/>
    </row>
    <row r="86" ht="15.75" customHeight="1">
      <c r="D86" s="182"/>
      <c r="E86" s="182"/>
      <c r="F86" s="182"/>
      <c r="O86" s="94" t="s">
        <v>218</v>
      </c>
      <c r="P86" s="192">
        <f>sum(I55:M55)</f>
        <v>617559.7983</v>
      </c>
    </row>
    <row r="87" ht="15.75" customHeight="1">
      <c r="D87" s="182"/>
      <c r="E87" s="182"/>
      <c r="F87" s="182"/>
      <c r="O87" s="94" t="s">
        <v>219</v>
      </c>
      <c r="P87" s="189">
        <f>M61-'Sources and Uses'!D13</f>
        <v>1793055.536</v>
      </c>
    </row>
    <row r="88" ht="15.75" customHeight="1">
      <c r="D88" s="182">
        <f t="shared" ref="D88:G88" si="52">D46+D89</f>
        <v>77757.49</v>
      </c>
      <c r="E88" s="182">
        <f t="shared" si="52"/>
        <v>95190.73</v>
      </c>
      <c r="F88" s="182">
        <f t="shared" si="52"/>
        <v>925680.47</v>
      </c>
      <c r="G88" s="182">
        <f t="shared" si="52"/>
        <v>57051.05</v>
      </c>
      <c r="O88" s="94" t="s">
        <v>21</v>
      </c>
      <c r="P88" s="189">
        <f>P87+P86</f>
        <v>2410615.335</v>
      </c>
    </row>
    <row r="89" ht="15.75" customHeight="1">
      <c r="C89" s="145" t="s">
        <v>220</v>
      </c>
      <c r="D89" s="193">
        <f t="shared" ref="D89:G89" si="53">SUM(D90:D1048604)</f>
        <v>77757.49</v>
      </c>
      <c r="E89" s="193">
        <f t="shared" si="53"/>
        <v>95190.73</v>
      </c>
      <c r="F89" s="193">
        <f t="shared" si="53"/>
        <v>219356.59</v>
      </c>
      <c r="G89" s="193">
        <f t="shared" si="53"/>
        <v>57051.05</v>
      </c>
      <c r="O89" s="94" t="s">
        <v>221</v>
      </c>
      <c r="P89" s="189">
        <f>sum(I62:M62)</f>
        <v>236160</v>
      </c>
    </row>
    <row r="90" ht="15.75" customHeight="1">
      <c r="C90" s="145" t="s">
        <v>222</v>
      </c>
      <c r="D90" s="194">
        <v>76200.0</v>
      </c>
      <c r="E90" s="194">
        <v>94500.0</v>
      </c>
      <c r="F90" s="194">
        <v>216146.09</v>
      </c>
      <c r="G90" s="94">
        <v>55000.0</v>
      </c>
      <c r="O90" s="94" t="s">
        <v>223</v>
      </c>
      <c r="P90" s="189">
        <f>P88-P89</f>
        <v>2174455.335</v>
      </c>
    </row>
    <row r="91" ht="15.75" customHeight="1">
      <c r="C91" s="145" t="s">
        <v>224</v>
      </c>
      <c r="D91" s="194">
        <v>302.63</v>
      </c>
      <c r="E91" s="194">
        <v>267.59</v>
      </c>
      <c r="F91" s="194">
        <v>924.19</v>
      </c>
      <c r="G91" s="94">
        <v>26.68</v>
      </c>
      <c r="O91" s="94" t="s">
        <v>225</v>
      </c>
      <c r="P91" s="189">
        <f>P90/2</f>
        <v>1087227.667</v>
      </c>
    </row>
    <row r="92" ht="15.75" customHeight="1">
      <c r="C92" s="145" t="s">
        <v>226</v>
      </c>
      <c r="D92" s="194">
        <v>844.33</v>
      </c>
      <c r="E92" s="195" t="s">
        <v>227</v>
      </c>
      <c r="F92" s="194">
        <v>1269.69</v>
      </c>
      <c r="O92" s="94" t="s">
        <v>228</v>
      </c>
      <c r="P92" s="189">
        <f>P91+P89</f>
        <v>1323387.667</v>
      </c>
    </row>
    <row r="93" ht="15.75" customHeight="1">
      <c r="C93" s="196" t="s">
        <v>229</v>
      </c>
      <c r="D93" s="194">
        <v>410.53</v>
      </c>
      <c r="E93" s="194">
        <v>423.14</v>
      </c>
      <c r="F93" s="194">
        <v>310.0</v>
      </c>
      <c r="P93" s="99">
        <f>P92/'Sources and Uses'!D13</f>
        <v>2.241510277</v>
      </c>
    </row>
    <row r="94" ht="15.75" customHeight="1">
      <c r="C94" s="196" t="s">
        <v>230</v>
      </c>
      <c r="D94" s="195" t="s">
        <v>227</v>
      </c>
      <c r="E94" s="195" t="s">
        <v>227</v>
      </c>
      <c r="F94" s="194">
        <v>693.1</v>
      </c>
      <c r="G94" s="94">
        <v>1471.87</v>
      </c>
    </row>
    <row r="95" ht="15.75" customHeight="1">
      <c r="C95" s="196" t="s">
        <v>13</v>
      </c>
      <c r="D95" s="195" t="s">
        <v>227</v>
      </c>
      <c r="E95" s="195" t="s">
        <v>227</v>
      </c>
      <c r="F95" s="194">
        <v>13.52</v>
      </c>
    </row>
    <row r="96" ht="15.75" customHeight="1">
      <c r="C96" s="94" t="s">
        <v>231</v>
      </c>
      <c r="G96" s="94">
        <v>552.5</v>
      </c>
      <c r="P96" s="94" t="s">
        <v>232</v>
      </c>
      <c r="Q96" s="94" t="s">
        <v>61</v>
      </c>
      <c r="R96" s="94" t="s">
        <v>62</v>
      </c>
      <c r="S96" s="94" t="s">
        <v>63</v>
      </c>
      <c r="T96" s="94" t="s">
        <v>64</v>
      </c>
      <c r="U96" s="94" t="s">
        <v>65</v>
      </c>
    </row>
    <row r="97" ht="15.75" customHeight="1">
      <c r="O97" s="94" t="s">
        <v>30</v>
      </c>
      <c r="P97" s="190">
        <f>-'Sources and Uses'!D13</f>
        <v>-590400</v>
      </c>
      <c r="Q97" s="192">
        <f t="shared" ref="Q97:U97" si="54">I55</f>
        <v>70458.61871</v>
      </c>
      <c r="R97" s="192">
        <f t="shared" si="54"/>
        <v>123379.2187</v>
      </c>
      <c r="S97" s="192">
        <f t="shared" si="54"/>
        <v>131862.8367</v>
      </c>
      <c r="T97" s="192">
        <f t="shared" si="54"/>
        <v>140992.6732</v>
      </c>
      <c r="U97" s="192">
        <f t="shared" si="54"/>
        <v>150866.4509</v>
      </c>
    </row>
    <row r="98" ht="15.75" customHeight="1">
      <c r="O98" s="94" t="s">
        <v>60</v>
      </c>
    </row>
    <row r="99" ht="15.75" customHeight="1">
      <c r="O99" s="94" t="s">
        <v>233</v>
      </c>
      <c r="U99" s="189">
        <f>M61</f>
        <v>2383455.536</v>
      </c>
    </row>
    <row r="100" ht="15.75" customHeight="1">
      <c r="O100" s="94" t="s">
        <v>234</v>
      </c>
      <c r="Q100" s="189">
        <f t="shared" ref="Q100:T100" si="55">(I55-I62)/2</f>
        <v>11613.30935</v>
      </c>
      <c r="R100" s="189">
        <f t="shared" si="55"/>
        <v>38073.60935</v>
      </c>
      <c r="S100" s="189">
        <f t="shared" si="55"/>
        <v>42315.41835</v>
      </c>
      <c r="T100" s="189">
        <f t="shared" si="55"/>
        <v>46880.33662</v>
      </c>
      <c r="U100" s="189">
        <f>((M55-M62)/2)+((U99-'Sources and Uses'!D13)/2)</f>
        <v>948344.9937</v>
      </c>
    </row>
    <row r="101" ht="15.75" customHeight="1">
      <c r="O101" s="94" t="s">
        <v>235</v>
      </c>
      <c r="P101" s="190">
        <f>P99+P98+P97</f>
        <v>-590400</v>
      </c>
      <c r="Q101" s="192">
        <f t="shared" ref="Q101:U101" si="56">Q99+Q98+Q97-Q100</f>
        <v>58845.30935</v>
      </c>
      <c r="R101" s="192">
        <f t="shared" si="56"/>
        <v>85305.60935</v>
      </c>
      <c r="S101" s="192">
        <f t="shared" si="56"/>
        <v>89547.41835</v>
      </c>
      <c r="T101" s="192">
        <f t="shared" si="56"/>
        <v>94112.33662</v>
      </c>
      <c r="U101" s="189">
        <f t="shared" si="56"/>
        <v>1585976.994</v>
      </c>
    </row>
    <row r="102" ht="15.75" customHeight="1">
      <c r="O102" s="94" t="s">
        <v>236</v>
      </c>
      <c r="P102" s="197">
        <f>irr(P101:U101)</f>
        <v>0.3032015567</v>
      </c>
    </row>
    <row r="103" ht="15.75" customHeight="1">
      <c r="O103" s="94" t="s">
        <v>237</v>
      </c>
      <c r="P103" s="197">
        <f>sum(P101:U101)/'Sources and Uses'!D13</f>
        <v>2.241510277</v>
      </c>
    </row>
    <row r="104" ht="15.75" customHeight="1"/>
    <row r="105" ht="15.75" customHeight="1"/>
    <row r="106" ht="15.75" customHeight="1">
      <c r="P106" s="94" t="s">
        <v>232</v>
      </c>
      <c r="Q106" s="94" t="s">
        <v>61</v>
      </c>
      <c r="R106" s="94" t="s">
        <v>62</v>
      </c>
      <c r="S106" s="94" t="s">
        <v>63</v>
      </c>
      <c r="T106" s="94" t="s">
        <v>64</v>
      </c>
      <c r="U106" s="94" t="s">
        <v>65</v>
      </c>
    </row>
    <row r="107" ht="15.75" customHeight="1">
      <c r="O107" s="94" t="s">
        <v>30</v>
      </c>
      <c r="P107" s="190">
        <f t="shared" ref="P107:R107" si="57">P97</f>
        <v>-590400</v>
      </c>
      <c r="Q107" s="192">
        <f t="shared" si="57"/>
        <v>70458.61871</v>
      </c>
      <c r="R107" s="192">
        <f t="shared" si="57"/>
        <v>123379.2187</v>
      </c>
      <c r="S107" s="99">
        <f t="shared" ref="S107:U107" si="58">K65</f>
        <v>0.1516724566</v>
      </c>
      <c r="T107" s="99">
        <f t="shared" si="58"/>
        <v>0.1594043642</v>
      </c>
      <c r="U107" s="99">
        <f t="shared" si="58"/>
        <v>0.1677663033</v>
      </c>
    </row>
    <row r="108" ht="15.75" customHeight="1">
      <c r="O108" s="94" t="s">
        <v>60</v>
      </c>
    </row>
    <row r="109" ht="15.75" customHeight="1">
      <c r="O109" s="94" t="s">
        <v>233</v>
      </c>
      <c r="R109" s="189">
        <f>J61</f>
        <v>1925151.689</v>
      </c>
      <c r="U109" s="94" t="str">
        <f>M91</f>
        <v/>
      </c>
    </row>
    <row r="110" ht="15.75" customHeight="1">
      <c r="O110" s="94" t="s">
        <v>234</v>
      </c>
      <c r="Q110" s="189">
        <f t="shared" ref="Q110:R110" si="59">Q100</f>
        <v>11613.30935</v>
      </c>
      <c r="R110" s="189">
        <f t="shared" si="59"/>
        <v>38073.60935</v>
      </c>
      <c r="S110" s="189">
        <f t="shared" ref="S110:T110" si="60">(K65-K92)/2</f>
        <v>0.07583622828</v>
      </c>
      <c r="T110" s="189">
        <f t="shared" si="60"/>
        <v>0.0797021821</v>
      </c>
      <c r="U110" s="189">
        <f>((M65-M92)/2)+((U109-'Sources and Uses'!D23)/2)</f>
        <v>-79949.91612</v>
      </c>
    </row>
    <row r="111" ht="15.75" customHeight="1">
      <c r="O111" s="94" t="s">
        <v>235</v>
      </c>
      <c r="P111" s="190">
        <f>P109+P108+P107</f>
        <v>-590400</v>
      </c>
      <c r="Q111" s="192">
        <f t="shared" ref="Q111:U111" si="61">Q109+Q108+Q107-Q110</f>
        <v>58845.30935</v>
      </c>
      <c r="R111" s="189">
        <f t="shared" si="61"/>
        <v>2010457.299</v>
      </c>
      <c r="S111" s="99">
        <f t="shared" si="61"/>
        <v>0.07583622828</v>
      </c>
      <c r="T111" s="99">
        <f t="shared" si="61"/>
        <v>0.0797021821</v>
      </c>
      <c r="U111" s="99">
        <f t="shared" si="61"/>
        <v>79950.08388</v>
      </c>
    </row>
    <row r="112" ht="15.75" customHeight="1">
      <c r="O112" s="94" t="s">
        <v>236</v>
      </c>
      <c r="P112" s="197">
        <f>irr(P111:U111)</f>
        <v>0.9011687726</v>
      </c>
    </row>
    <row r="113" ht="15.75" customHeight="1">
      <c r="O113" s="94" t="s">
        <v>237</v>
      </c>
      <c r="P113" s="197"/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396F"/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2" width="1.88"/>
    <col customWidth="1" min="3" max="3" width="25.88"/>
    <col customWidth="1" min="4" max="5" width="12.5"/>
    <col customWidth="1" min="6" max="7" width="12.38"/>
    <col customWidth="1" min="8" max="10" width="12.5"/>
    <col customWidth="1" min="11" max="11" width="17.25"/>
    <col customWidth="1" min="12" max="12" width="15.88"/>
    <col customWidth="1" min="13" max="13" width="12.5"/>
    <col customWidth="1" min="14" max="14" width="15.13"/>
    <col customWidth="1" min="15" max="26" width="12.5"/>
  </cols>
  <sheetData>
    <row r="1" ht="9.75" customHeight="1"/>
    <row r="2">
      <c r="C2" s="201" t="s">
        <v>238</v>
      </c>
      <c r="D2" s="2"/>
      <c r="E2" s="2"/>
      <c r="F2" s="2"/>
      <c r="G2" s="3"/>
      <c r="H2" s="4"/>
      <c r="I2" s="4"/>
      <c r="J2" s="1" t="s">
        <v>239</v>
      </c>
      <c r="K2" s="202"/>
      <c r="L2" s="202"/>
      <c r="M2" s="3"/>
      <c r="N2" s="3"/>
      <c r="O2" s="3"/>
      <c r="P2" s="3"/>
    </row>
    <row r="3" ht="15.75" customHeight="1">
      <c r="C3" s="4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ht="15.75" customHeight="1">
      <c r="C4" s="203"/>
      <c r="D4" s="204" t="s">
        <v>61</v>
      </c>
      <c r="E4" s="204" t="s">
        <v>62</v>
      </c>
      <c r="F4" s="204" t="s">
        <v>63</v>
      </c>
      <c r="G4" s="205" t="s">
        <v>64</v>
      </c>
      <c r="H4" s="204" t="s">
        <v>65</v>
      </c>
      <c r="I4" s="4"/>
      <c r="J4" s="203"/>
      <c r="K4" s="204">
        <f>Proforma!D4</f>
        <v>2022</v>
      </c>
      <c r="L4" s="204">
        <f>Proforma!E4</f>
        <v>2023</v>
      </c>
      <c r="M4" s="205">
        <f>Proforma!F4</f>
        <v>2024</v>
      </c>
      <c r="N4" s="205" t="str">
        <f>Proforma!G4</f>
        <v>2025 YTD (march)</v>
      </c>
      <c r="O4" s="205" t="str">
        <f>Proforma!H4</f>
        <v>2025 Annualized</v>
      </c>
      <c r="P4" s="3"/>
    </row>
    <row r="5" ht="15.75" hidden="1" customHeight="1">
      <c r="C5" s="14" t="s">
        <v>10</v>
      </c>
      <c r="D5" s="206">
        <f>166554.6*12</f>
        <v>1998655.2</v>
      </c>
      <c r="E5" s="206">
        <f t="shared" ref="E5:F5" si="1">D5*1.03</f>
        <v>2058614.856</v>
      </c>
      <c r="F5" s="207">
        <f t="shared" si="1"/>
        <v>2120373.302</v>
      </c>
      <c r="G5" s="3"/>
      <c r="H5" s="32"/>
      <c r="I5" s="32"/>
      <c r="J5" s="32"/>
      <c r="K5" s="32"/>
      <c r="L5" s="32"/>
      <c r="M5" s="32"/>
      <c r="N5" s="3"/>
      <c r="O5" s="3"/>
      <c r="P5" s="3"/>
    </row>
    <row r="6" ht="15.75" hidden="1" customHeight="1">
      <c r="C6" s="4" t="s">
        <v>240</v>
      </c>
      <c r="D6" s="19">
        <f t="shared" ref="D6:F6" si="2">D5*-0.086</f>
        <v>-171884.3472</v>
      </c>
      <c r="E6" s="19">
        <f t="shared" si="2"/>
        <v>-177040.8776</v>
      </c>
      <c r="F6" s="19">
        <f t="shared" si="2"/>
        <v>-182352.1039</v>
      </c>
      <c r="G6" s="3"/>
      <c r="H6" s="32"/>
      <c r="I6" s="32"/>
      <c r="J6" s="32"/>
      <c r="K6" s="32"/>
      <c r="L6" s="32"/>
      <c r="M6" s="32"/>
      <c r="N6" s="3"/>
      <c r="O6" s="3"/>
      <c r="P6" s="3"/>
    </row>
    <row r="7" ht="15.75" hidden="1" customHeight="1">
      <c r="C7" s="4" t="s">
        <v>13</v>
      </c>
      <c r="D7" s="19">
        <f t="shared" ref="D7:F7" si="3">2842.28*12</f>
        <v>34107.36</v>
      </c>
      <c r="E7" s="19">
        <f t="shared" si="3"/>
        <v>34107.36</v>
      </c>
      <c r="F7" s="19">
        <f t="shared" si="3"/>
        <v>34107.36</v>
      </c>
      <c r="G7" s="3"/>
      <c r="H7" s="32"/>
      <c r="I7" s="32"/>
      <c r="J7" s="32"/>
      <c r="K7" s="32"/>
      <c r="L7" s="32"/>
      <c r="M7" s="32"/>
      <c r="N7" s="3"/>
      <c r="O7" s="3"/>
      <c r="P7" s="3"/>
    </row>
    <row r="8" ht="15.75" customHeight="1">
      <c r="C8" s="4" t="s">
        <v>15</v>
      </c>
      <c r="D8" s="19">
        <f>Proforma!I12</f>
        <v>876500</v>
      </c>
      <c r="E8" s="19">
        <f>Proforma!J12</f>
        <v>904420</v>
      </c>
      <c r="F8" s="19">
        <f>Proforma!K12</f>
        <v>933517.6</v>
      </c>
      <c r="G8" s="19">
        <f>Proforma!L12</f>
        <v>963896.128</v>
      </c>
      <c r="H8" s="19">
        <f>Proforma!M12</f>
        <v>995675.6118</v>
      </c>
      <c r="I8" s="21"/>
      <c r="J8" s="21" t="str">
        <f t="shared" ref="J8:J9" si="4">C8</f>
        <v>Effective Gross Income</v>
      </c>
      <c r="K8" s="19">
        <f>Proforma!D12</f>
        <v>0</v>
      </c>
      <c r="L8" s="19">
        <f>Proforma!E12</f>
        <v>0</v>
      </c>
      <c r="M8" s="19">
        <f>Proforma!F12</f>
        <v>848205.22</v>
      </c>
      <c r="N8" s="19">
        <f>Proforma!G12</f>
        <v>0</v>
      </c>
      <c r="O8" s="19">
        <f>Proforma!H12</f>
        <v>0</v>
      </c>
      <c r="P8" s="3"/>
    </row>
    <row r="9" ht="15.75" customHeight="1">
      <c r="C9" s="4" t="s">
        <v>17</v>
      </c>
      <c r="D9" s="19">
        <f>Proforma!I46</f>
        <v>631670</v>
      </c>
      <c r="E9" s="19">
        <f>Proforma!J46</f>
        <v>650620.1</v>
      </c>
      <c r="F9" s="19">
        <f>Proforma!K46</f>
        <v>670138.703</v>
      </c>
      <c r="G9" s="19">
        <f>Proforma!L46</f>
        <v>690242.8641</v>
      </c>
      <c r="H9" s="19">
        <f>Proforma!M46</f>
        <v>710950.15</v>
      </c>
      <c r="I9" s="32"/>
      <c r="J9" s="32" t="str">
        <f t="shared" si="4"/>
        <v>Expenses</v>
      </c>
      <c r="K9" s="19">
        <f>Proforma!D46</f>
        <v>0</v>
      </c>
      <c r="L9" s="19">
        <f>Proforma!E46</f>
        <v>0</v>
      </c>
      <c r="M9" s="19">
        <f>Proforma!F46</f>
        <v>706323.88</v>
      </c>
      <c r="N9" s="19">
        <f>Proforma!G46</f>
        <v>0</v>
      </c>
      <c r="O9" s="19">
        <f>Proforma!H46</f>
        <v>0</v>
      </c>
      <c r="P9" s="3"/>
    </row>
    <row r="10" ht="15.75" customHeight="1">
      <c r="C10" s="4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"/>
    </row>
    <row r="11" ht="15.75" customHeight="1">
      <c r="C11" s="208" t="s">
        <v>26</v>
      </c>
      <c r="D11" s="43">
        <f t="shared" ref="D11:H11" si="5">D8-D9</f>
        <v>244830</v>
      </c>
      <c r="E11" s="43">
        <f t="shared" si="5"/>
        <v>253799.9</v>
      </c>
      <c r="F11" s="43">
        <f t="shared" si="5"/>
        <v>263378.897</v>
      </c>
      <c r="G11" s="43">
        <f t="shared" si="5"/>
        <v>273653.2639</v>
      </c>
      <c r="H11" s="43">
        <f t="shared" si="5"/>
        <v>284725.4618</v>
      </c>
      <c r="I11" s="32"/>
      <c r="J11" s="209" t="str">
        <f>C11</f>
        <v>Net Operating Income</v>
      </c>
      <c r="K11" s="210">
        <f t="shared" ref="K11:O11" si="6">K8-K9</f>
        <v>0</v>
      </c>
      <c r="L11" s="210">
        <f t="shared" si="6"/>
        <v>0</v>
      </c>
      <c r="M11" s="210">
        <f t="shared" si="6"/>
        <v>141881.34</v>
      </c>
      <c r="N11" s="210">
        <f t="shared" si="6"/>
        <v>0</v>
      </c>
      <c r="O11" s="210">
        <f t="shared" si="6"/>
        <v>0</v>
      </c>
      <c r="P11" s="3"/>
    </row>
    <row r="12" ht="5.25" customHeight="1">
      <c r="C12" s="3"/>
      <c r="D12" s="32"/>
      <c r="E12" s="32"/>
      <c r="F12" s="32"/>
      <c r="G12" s="3"/>
      <c r="H12" s="32"/>
      <c r="I12" s="32"/>
      <c r="J12" s="32"/>
      <c r="K12" s="32"/>
      <c r="L12" s="32"/>
      <c r="M12" s="32"/>
      <c r="N12" s="3"/>
      <c r="O12" s="3"/>
      <c r="P12" s="3"/>
    </row>
    <row r="13" ht="15.75" customHeight="1">
      <c r="C13" s="4"/>
      <c r="D13" s="32"/>
      <c r="E13" s="32"/>
      <c r="F13" s="32"/>
      <c r="G13" s="3"/>
      <c r="H13" s="32"/>
      <c r="I13" s="32"/>
      <c r="J13" s="211" t="s">
        <v>241</v>
      </c>
      <c r="K13" s="212"/>
      <c r="L13" s="212"/>
      <c r="M13" s="212"/>
      <c r="N13" s="212"/>
      <c r="O13" s="213"/>
      <c r="P13" s="3"/>
    </row>
    <row r="14" ht="15.75" customHeight="1">
      <c r="C14" s="4"/>
      <c r="D14" s="32"/>
      <c r="E14" s="32"/>
      <c r="F14" s="32"/>
      <c r="G14" s="3"/>
      <c r="H14" s="3"/>
      <c r="I14" s="3"/>
      <c r="J14" s="214" t="s">
        <v>242</v>
      </c>
      <c r="K14" s="21"/>
      <c r="L14" s="21"/>
      <c r="M14" s="21"/>
      <c r="N14" s="21"/>
      <c r="O14" s="215"/>
      <c r="P14" s="3"/>
    </row>
    <row r="15" ht="15.75" customHeight="1">
      <c r="C15" s="3"/>
      <c r="D15" s="3"/>
      <c r="E15" s="3"/>
      <c r="F15" s="3"/>
      <c r="G15" s="4"/>
      <c r="H15" s="4"/>
      <c r="I15" s="4"/>
      <c r="J15" s="216" t="s">
        <v>243</v>
      </c>
      <c r="K15" s="21"/>
      <c r="L15" s="21"/>
      <c r="M15" s="21"/>
      <c r="N15" s="21"/>
      <c r="O15" s="215"/>
      <c r="P15" s="3"/>
    </row>
    <row r="16" ht="15.75" customHeight="1">
      <c r="C16" s="3"/>
      <c r="D16" s="3"/>
      <c r="E16" s="3"/>
      <c r="F16" s="3"/>
      <c r="G16" s="4"/>
      <c r="H16" s="21"/>
      <c r="I16" s="21"/>
      <c r="J16" s="217" t="s">
        <v>244</v>
      </c>
      <c r="K16" s="21"/>
      <c r="L16" s="21"/>
      <c r="M16" s="21"/>
      <c r="N16" s="21"/>
      <c r="O16" s="218"/>
      <c r="P16" s="3"/>
    </row>
    <row r="17" ht="15.75" customHeight="1">
      <c r="C17" s="3"/>
      <c r="D17" s="3"/>
      <c r="E17" s="3"/>
      <c r="F17" s="3"/>
      <c r="G17" s="4"/>
      <c r="H17" s="21"/>
      <c r="I17" s="21"/>
      <c r="J17" s="217" t="s">
        <v>245</v>
      </c>
      <c r="K17" s="21"/>
      <c r="L17" s="21"/>
      <c r="M17" s="21"/>
      <c r="N17" s="21"/>
      <c r="O17" s="218"/>
      <c r="P17" s="3"/>
    </row>
    <row r="18" ht="15.75" customHeight="1">
      <c r="C18" s="3"/>
      <c r="D18" s="3"/>
      <c r="E18" s="3"/>
      <c r="F18" s="3"/>
      <c r="G18" s="4"/>
      <c r="H18" s="21"/>
      <c r="I18" s="21"/>
      <c r="J18" s="217" t="s">
        <v>246</v>
      </c>
      <c r="K18" s="21"/>
      <c r="L18" s="21"/>
      <c r="M18" s="21"/>
      <c r="N18" s="21"/>
      <c r="O18" s="218"/>
      <c r="P18" s="3"/>
    </row>
    <row r="19" ht="15.75" customHeight="1">
      <c r="C19" s="3"/>
      <c r="D19" s="3"/>
      <c r="E19" s="3"/>
      <c r="F19" s="3"/>
      <c r="G19" s="4"/>
      <c r="H19" s="21"/>
      <c r="I19" s="21"/>
      <c r="J19" s="217" t="s">
        <v>247</v>
      </c>
      <c r="K19" s="21"/>
      <c r="L19" s="21"/>
      <c r="M19" s="21"/>
      <c r="N19" s="21"/>
      <c r="O19" s="218"/>
      <c r="P19" s="3"/>
    </row>
    <row r="20" ht="15.75" customHeight="1">
      <c r="C20" s="3"/>
      <c r="D20" s="3"/>
      <c r="E20" s="3"/>
      <c r="F20" s="3"/>
      <c r="G20" s="4"/>
      <c r="H20" s="21"/>
      <c r="I20" s="21"/>
      <c r="J20" s="217" t="s">
        <v>248</v>
      </c>
      <c r="K20" s="21"/>
      <c r="L20" s="21"/>
      <c r="M20" s="21"/>
      <c r="N20" s="21"/>
      <c r="O20" s="218"/>
      <c r="P20" s="3"/>
    </row>
    <row r="21" ht="15.75" customHeight="1">
      <c r="C21" s="3"/>
      <c r="D21" s="3"/>
      <c r="E21" s="3"/>
      <c r="F21" s="3"/>
      <c r="G21" s="4"/>
      <c r="H21" s="21"/>
      <c r="I21" s="21"/>
      <c r="J21" s="219" t="s">
        <v>249</v>
      </c>
      <c r="K21" s="51"/>
      <c r="L21" s="51"/>
      <c r="M21" s="51"/>
      <c r="N21" s="51"/>
      <c r="O21" s="220"/>
      <c r="P21" s="3"/>
    </row>
    <row r="22" ht="15.75" customHeight="1">
      <c r="C22" s="3"/>
      <c r="D22" s="3"/>
      <c r="E22" s="3"/>
      <c r="F22" s="3"/>
      <c r="G22" s="4"/>
      <c r="H22" s="21"/>
      <c r="I22" s="21"/>
      <c r="J22" s="21"/>
      <c r="K22" s="21"/>
      <c r="L22" s="21"/>
      <c r="M22" s="21"/>
      <c r="N22" s="21"/>
      <c r="O22" s="3"/>
      <c r="P22" s="3"/>
    </row>
    <row r="23" ht="15.75" customHeight="1">
      <c r="C23" s="3"/>
      <c r="D23" s="3"/>
      <c r="E23" s="3"/>
      <c r="F23" s="3"/>
      <c r="G23" s="4"/>
      <c r="H23" s="21"/>
      <c r="I23" s="21"/>
      <c r="J23" s="21"/>
      <c r="K23" s="21"/>
      <c r="L23" s="21"/>
      <c r="M23" s="21"/>
      <c r="N23" s="21"/>
      <c r="O23" s="3"/>
      <c r="P23" s="3"/>
    </row>
    <row r="24" ht="15.75" customHeight="1"/>
    <row r="25" ht="15.75" customHeight="1"/>
    <row r="26" ht="15.75" customHeight="1">
      <c r="H26" s="199">
        <f t="shared" ref="H26:J26" si="7">H10+H18</f>
        <v>0</v>
      </c>
      <c r="I26" s="199">
        <f t="shared" si="7"/>
        <v>0</v>
      </c>
      <c r="J26" s="199" t="str">
        <f t="shared" si="7"/>
        <v>#VALUE!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12.75"/>
    <col customWidth="1" min="3" max="3" width="11.5"/>
    <col customWidth="1" min="4" max="4" width="8.63"/>
    <col customWidth="1" min="5" max="5" width="35.75"/>
    <col customWidth="1" min="6" max="26" width="8.63"/>
  </cols>
  <sheetData>
    <row r="1" ht="12.0" customHeight="1">
      <c r="A1" s="3"/>
      <c r="B1" s="3"/>
      <c r="C1" s="221"/>
      <c r="D1" s="4" t="s">
        <v>250</v>
      </c>
      <c r="E1" s="4" t="s">
        <v>251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0" customHeight="1">
      <c r="A2" s="4" t="s">
        <v>252</v>
      </c>
      <c r="B2" s="4" t="s">
        <v>253</v>
      </c>
      <c r="C2" s="221"/>
      <c r="D2" s="4"/>
      <c r="E2" s="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0" customHeight="1">
      <c r="A3" s="4" t="s">
        <v>254</v>
      </c>
      <c r="B3" s="4"/>
      <c r="C3" s="221"/>
      <c r="D3" s="4"/>
      <c r="E3" s="4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0" customHeight="1">
      <c r="A4" s="4" t="s">
        <v>255</v>
      </c>
      <c r="B4" s="4"/>
      <c r="C4" s="221"/>
      <c r="D4" s="4"/>
      <c r="E4" s="4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0" customHeight="1">
      <c r="A5" s="4" t="s">
        <v>256</v>
      </c>
      <c r="B5" s="4"/>
      <c r="C5" s="221"/>
      <c r="D5" s="4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2.0" customHeight="1">
      <c r="A6" s="3"/>
      <c r="B6" s="3"/>
      <c r="C6" s="221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0" customHeight="1">
      <c r="A7" s="3"/>
      <c r="B7" s="3"/>
      <c r="C7" s="221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0" customHeight="1">
      <c r="A8" s="4"/>
      <c r="B8" s="3"/>
      <c r="C8" s="221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0" customHeight="1">
      <c r="A9" s="4"/>
      <c r="B9" s="3"/>
      <c r="C9" s="221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0" customHeight="1">
      <c r="A10" s="3"/>
      <c r="B10" s="3"/>
      <c r="C10" s="221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0" customHeight="1">
      <c r="A11" s="3"/>
      <c r="B11" s="3"/>
      <c r="C11" s="221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0" customHeight="1">
      <c r="A12" s="3"/>
      <c r="B12" s="3"/>
      <c r="C12" s="221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0" customHeight="1">
      <c r="A13" s="3"/>
      <c r="B13" s="3"/>
      <c r="C13" s="221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0" customHeight="1">
      <c r="A14" s="3"/>
      <c r="B14" s="3"/>
      <c r="C14" s="221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0" customHeight="1">
      <c r="A15" s="3"/>
      <c r="B15" s="3"/>
      <c r="C15" s="221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0" customHeight="1">
      <c r="A16" s="3"/>
      <c r="B16" s="3"/>
      <c r="C16" s="221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0" customHeight="1">
      <c r="A17" s="3"/>
      <c r="B17" s="3"/>
      <c r="C17" s="221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0" customHeight="1">
      <c r="A18" s="3"/>
      <c r="B18" s="3"/>
      <c r="C18" s="221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0" customHeight="1">
      <c r="A19" s="3"/>
      <c r="B19" s="3"/>
      <c r="C19" s="221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0" customHeight="1">
      <c r="A20" s="3"/>
      <c r="B20" s="3"/>
      <c r="C20" s="221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0" customHeight="1">
      <c r="A21" s="3"/>
      <c r="B21" s="3"/>
      <c r="C21" s="221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0" customHeight="1">
      <c r="A22" s="3"/>
      <c r="B22" s="3"/>
      <c r="C22" s="221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0" customHeight="1">
      <c r="A23" s="3"/>
      <c r="B23" s="3"/>
      <c r="C23" s="221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0" customHeight="1">
      <c r="A24" s="3"/>
      <c r="B24" s="3"/>
      <c r="C24" s="221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0" customHeight="1">
      <c r="A25" s="3"/>
      <c r="B25" s="3"/>
      <c r="C25" s="221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0" customHeight="1">
      <c r="A26" s="3"/>
      <c r="B26" s="3"/>
      <c r="C26" s="221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0" customHeight="1">
      <c r="A27" s="3"/>
      <c r="B27" s="3"/>
      <c r="C27" s="221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0" customHeight="1">
      <c r="A28" s="3"/>
      <c r="B28" s="3"/>
      <c r="C28" s="221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0" customHeight="1">
      <c r="A29" s="3"/>
      <c r="B29" s="3"/>
      <c r="C29" s="221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0" customHeight="1">
      <c r="A30" s="3"/>
      <c r="B30" s="3"/>
      <c r="C30" s="221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0" customHeight="1">
      <c r="A31" s="3"/>
      <c r="B31" s="3"/>
      <c r="C31" s="221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0" customHeight="1">
      <c r="A32" s="3"/>
      <c r="B32" s="3"/>
      <c r="C32" s="221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0" customHeight="1">
      <c r="A33" s="3"/>
      <c r="B33" s="3"/>
      <c r="C33" s="221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0" customHeight="1">
      <c r="A34" s="3"/>
      <c r="B34" s="3"/>
      <c r="C34" s="221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0" customHeight="1">
      <c r="A35" s="3"/>
      <c r="B35" s="3"/>
      <c r="C35" s="221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0" customHeight="1">
      <c r="A36" s="3"/>
      <c r="B36" s="3"/>
      <c r="C36" s="221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0" customHeight="1">
      <c r="A37" s="3"/>
      <c r="B37" s="3"/>
      <c r="C37" s="221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0" customHeight="1">
      <c r="A38" s="3"/>
      <c r="B38" s="3"/>
      <c r="C38" s="221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0" customHeight="1">
      <c r="A39" s="3"/>
      <c r="B39" s="3"/>
      <c r="C39" s="221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0" customHeight="1">
      <c r="A40" s="3"/>
      <c r="B40" s="3"/>
      <c r="C40" s="221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0" customHeight="1">
      <c r="A41" s="3"/>
      <c r="B41" s="3"/>
      <c r="C41" s="221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0" customHeight="1">
      <c r="A42" s="3"/>
      <c r="B42" s="3"/>
      <c r="C42" s="221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0" customHeight="1">
      <c r="A43" s="3"/>
      <c r="B43" s="3"/>
      <c r="C43" s="221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0" customHeight="1">
      <c r="A44" s="3"/>
      <c r="B44" s="3"/>
      <c r="C44" s="221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0" customHeight="1">
      <c r="A45" s="3"/>
      <c r="B45" s="3"/>
      <c r="C45" s="221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0" customHeight="1">
      <c r="A46" s="3"/>
      <c r="B46" s="3"/>
      <c r="C46" s="221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0" customHeight="1">
      <c r="A47" s="3"/>
      <c r="B47" s="3"/>
      <c r="C47" s="221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0" customHeight="1">
      <c r="A48" s="3"/>
      <c r="B48" s="3"/>
      <c r="C48" s="221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0" customHeight="1">
      <c r="A49" s="3"/>
      <c r="B49" s="3"/>
      <c r="C49" s="221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0" customHeight="1">
      <c r="A50" s="3"/>
      <c r="B50" s="3"/>
      <c r="C50" s="221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0" customHeight="1">
      <c r="A51" s="3"/>
      <c r="B51" s="3"/>
      <c r="C51" s="221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0" customHeight="1">
      <c r="A52" s="3"/>
      <c r="B52" s="3"/>
      <c r="C52" s="221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0" customHeight="1">
      <c r="A53" s="3"/>
      <c r="B53" s="3"/>
      <c r="C53" s="221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0" customHeight="1">
      <c r="A54" s="3"/>
      <c r="B54" s="3"/>
      <c r="C54" s="221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0" customHeight="1">
      <c r="A55" s="3"/>
      <c r="B55" s="3"/>
      <c r="C55" s="221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0" customHeight="1">
      <c r="A56" s="3"/>
      <c r="B56" s="3"/>
      <c r="C56" s="221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0" customHeight="1">
      <c r="A57" s="3"/>
      <c r="B57" s="3"/>
      <c r="C57" s="221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0" customHeight="1">
      <c r="A58" s="3"/>
      <c r="B58" s="3"/>
      <c r="C58" s="221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0" customHeight="1">
      <c r="A59" s="3"/>
      <c r="B59" s="3"/>
      <c r="C59" s="221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0" customHeight="1">
      <c r="A60" s="3"/>
      <c r="B60" s="3"/>
      <c r="C60" s="221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0" customHeight="1">
      <c r="A61" s="3"/>
      <c r="B61" s="3"/>
      <c r="C61" s="221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0" customHeight="1">
      <c r="A62" s="3"/>
      <c r="B62" s="3"/>
      <c r="C62" s="221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0" customHeight="1">
      <c r="A63" s="3"/>
      <c r="B63" s="3"/>
      <c r="C63" s="221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0" customHeight="1">
      <c r="A64" s="3"/>
      <c r="B64" s="3"/>
      <c r="C64" s="221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0" customHeight="1">
      <c r="A65" s="3"/>
      <c r="B65" s="3"/>
      <c r="C65" s="221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0" customHeight="1">
      <c r="A66" s="3"/>
      <c r="B66" s="3"/>
      <c r="C66" s="221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0" customHeight="1">
      <c r="A67" s="3"/>
      <c r="B67" s="3"/>
      <c r="C67" s="221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0" customHeight="1">
      <c r="A68" s="3"/>
      <c r="B68" s="3"/>
      <c r="C68" s="221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0" customHeight="1">
      <c r="A69" s="3"/>
      <c r="B69" s="3"/>
      <c r="C69" s="221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0" customHeight="1">
      <c r="A70" s="3"/>
      <c r="B70" s="3"/>
      <c r="C70" s="221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0" customHeight="1">
      <c r="A71" s="3"/>
      <c r="B71" s="3"/>
      <c r="C71" s="221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0" customHeight="1">
      <c r="A72" s="3"/>
      <c r="B72" s="3"/>
      <c r="C72" s="221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0" customHeight="1">
      <c r="A73" s="3"/>
      <c r="B73" s="3"/>
      <c r="C73" s="221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0" customHeight="1">
      <c r="A74" s="3"/>
      <c r="B74" s="3"/>
      <c r="C74" s="221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0" customHeight="1">
      <c r="A75" s="3"/>
      <c r="B75" s="3"/>
      <c r="C75" s="221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0" customHeight="1">
      <c r="A76" s="3"/>
      <c r="B76" s="3"/>
      <c r="C76" s="221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0" customHeight="1">
      <c r="A77" s="3"/>
      <c r="B77" s="3"/>
      <c r="C77" s="221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0" customHeight="1">
      <c r="A78" s="3"/>
      <c r="B78" s="3"/>
      <c r="C78" s="221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0" customHeight="1">
      <c r="A79" s="3"/>
      <c r="B79" s="3"/>
      <c r="C79" s="221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0" customHeight="1">
      <c r="A80" s="3"/>
      <c r="B80" s="3"/>
      <c r="C80" s="221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0" customHeight="1">
      <c r="A81" s="3"/>
      <c r="B81" s="3"/>
      <c r="C81" s="221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0" customHeight="1">
      <c r="A82" s="3"/>
      <c r="B82" s="3"/>
      <c r="C82" s="221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0" customHeight="1">
      <c r="A83" s="3"/>
      <c r="B83" s="3"/>
      <c r="C83" s="221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0" customHeight="1">
      <c r="A84" s="3"/>
      <c r="B84" s="3"/>
      <c r="C84" s="221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0" customHeight="1">
      <c r="A85" s="3"/>
      <c r="B85" s="3"/>
      <c r="C85" s="221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0" customHeight="1">
      <c r="A86" s="3"/>
      <c r="B86" s="3"/>
      <c r="C86" s="221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0" customHeight="1">
      <c r="A87" s="3"/>
      <c r="B87" s="3"/>
      <c r="C87" s="221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0" customHeight="1">
      <c r="A88" s="3"/>
      <c r="B88" s="3"/>
      <c r="C88" s="221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0" customHeight="1">
      <c r="A89" s="3"/>
      <c r="B89" s="3"/>
      <c r="C89" s="221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0" customHeight="1">
      <c r="A90" s="3"/>
      <c r="B90" s="3"/>
      <c r="C90" s="221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0" customHeight="1">
      <c r="A91" s="3"/>
      <c r="B91" s="3"/>
      <c r="C91" s="221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0" customHeight="1">
      <c r="A92" s="3"/>
      <c r="B92" s="3"/>
      <c r="C92" s="221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0" customHeight="1">
      <c r="A93" s="3"/>
      <c r="B93" s="3"/>
      <c r="C93" s="221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0" customHeight="1">
      <c r="A94" s="3"/>
      <c r="B94" s="3"/>
      <c r="C94" s="221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0" customHeight="1">
      <c r="A95" s="3"/>
      <c r="B95" s="3"/>
      <c r="C95" s="221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0" customHeight="1">
      <c r="A96" s="3"/>
      <c r="B96" s="3"/>
      <c r="C96" s="221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0" customHeight="1">
      <c r="A97" s="3"/>
      <c r="B97" s="3"/>
      <c r="C97" s="221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0" customHeight="1">
      <c r="A98" s="3"/>
      <c r="B98" s="3"/>
      <c r="C98" s="221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0" customHeight="1">
      <c r="A99" s="3"/>
      <c r="B99" s="3"/>
      <c r="C99" s="221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0" customHeight="1">
      <c r="A100" s="3"/>
      <c r="B100" s="3"/>
      <c r="C100" s="221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0" customHeight="1">
      <c r="A101" s="3"/>
      <c r="B101" s="3"/>
      <c r="C101" s="221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0" customHeight="1">
      <c r="A102" s="3"/>
      <c r="B102" s="3"/>
      <c r="C102" s="221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0" customHeight="1">
      <c r="A103" s="3"/>
      <c r="B103" s="3"/>
      <c r="C103" s="221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0" customHeight="1">
      <c r="A104" s="3"/>
      <c r="B104" s="3"/>
      <c r="C104" s="221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0" customHeight="1">
      <c r="A105" s="3"/>
      <c r="B105" s="3"/>
      <c r="C105" s="221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0" customHeight="1">
      <c r="A106" s="3"/>
      <c r="B106" s="3"/>
      <c r="C106" s="221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0" customHeight="1">
      <c r="A107" s="3"/>
      <c r="B107" s="3"/>
      <c r="C107" s="221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0" customHeight="1">
      <c r="A108" s="3"/>
      <c r="B108" s="3"/>
      <c r="C108" s="221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0" customHeight="1">
      <c r="A109" s="3"/>
      <c r="B109" s="3"/>
      <c r="C109" s="221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0" customHeight="1">
      <c r="A110" s="3"/>
      <c r="B110" s="3"/>
      <c r="C110" s="221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0" customHeight="1">
      <c r="A111" s="3"/>
      <c r="B111" s="3"/>
      <c r="C111" s="221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0" customHeight="1">
      <c r="A112" s="3"/>
      <c r="B112" s="3"/>
      <c r="C112" s="221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0" customHeight="1">
      <c r="A113" s="3"/>
      <c r="B113" s="3"/>
      <c r="C113" s="221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0" customHeight="1">
      <c r="A114" s="3"/>
      <c r="B114" s="3"/>
      <c r="C114" s="221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0" customHeight="1">
      <c r="A115" s="3"/>
      <c r="B115" s="3"/>
      <c r="C115" s="221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0" customHeight="1">
      <c r="A116" s="3"/>
      <c r="B116" s="3"/>
      <c r="C116" s="221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0" customHeight="1">
      <c r="A117" s="3"/>
      <c r="B117" s="3"/>
      <c r="C117" s="221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0" customHeight="1">
      <c r="A118" s="3"/>
      <c r="B118" s="3"/>
      <c r="C118" s="221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0" customHeight="1">
      <c r="A119" s="3"/>
      <c r="B119" s="3"/>
      <c r="C119" s="221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0" customHeight="1">
      <c r="A120" s="3"/>
      <c r="B120" s="3"/>
      <c r="C120" s="221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0" customHeight="1">
      <c r="A121" s="3"/>
      <c r="B121" s="3"/>
      <c r="C121" s="221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0" customHeight="1">
      <c r="A122" s="3"/>
      <c r="B122" s="3"/>
      <c r="C122" s="221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0" customHeight="1">
      <c r="A123" s="3"/>
      <c r="B123" s="3"/>
      <c r="C123" s="221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0" customHeight="1">
      <c r="A124" s="3"/>
      <c r="B124" s="3"/>
      <c r="C124" s="221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0" customHeight="1">
      <c r="A125" s="3"/>
      <c r="B125" s="3"/>
      <c r="C125" s="221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0" customHeight="1">
      <c r="A126" s="3"/>
      <c r="B126" s="3"/>
      <c r="C126" s="221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0" customHeight="1">
      <c r="A127" s="3"/>
      <c r="B127" s="3"/>
      <c r="C127" s="221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0" customHeight="1">
      <c r="A128" s="3"/>
      <c r="B128" s="3"/>
      <c r="C128" s="221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0" customHeight="1">
      <c r="A129" s="3"/>
      <c r="B129" s="3"/>
      <c r="C129" s="221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0" customHeight="1">
      <c r="A130" s="3"/>
      <c r="B130" s="3"/>
      <c r="C130" s="221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0" customHeight="1">
      <c r="A131" s="3"/>
      <c r="B131" s="3"/>
      <c r="C131" s="221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0" customHeight="1">
      <c r="A132" s="3"/>
      <c r="B132" s="3"/>
      <c r="C132" s="221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0" customHeight="1">
      <c r="A133" s="3"/>
      <c r="B133" s="3"/>
      <c r="C133" s="221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0" customHeight="1">
      <c r="A134" s="3"/>
      <c r="B134" s="3"/>
      <c r="C134" s="221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0" customHeight="1">
      <c r="A135" s="3"/>
      <c r="B135" s="3"/>
      <c r="C135" s="221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0" customHeight="1">
      <c r="A136" s="3"/>
      <c r="B136" s="3"/>
      <c r="C136" s="221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0" customHeight="1">
      <c r="A137" s="3"/>
      <c r="B137" s="3"/>
      <c r="C137" s="221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0" customHeight="1">
      <c r="A138" s="3"/>
      <c r="B138" s="3"/>
      <c r="C138" s="221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0" customHeight="1">
      <c r="A139" s="3"/>
      <c r="B139" s="3"/>
      <c r="C139" s="221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0" customHeight="1">
      <c r="A140" s="3"/>
      <c r="B140" s="3"/>
      <c r="C140" s="221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0" customHeight="1">
      <c r="A141" s="3"/>
      <c r="B141" s="3"/>
      <c r="C141" s="221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0" customHeight="1">
      <c r="A142" s="3"/>
      <c r="B142" s="3"/>
      <c r="C142" s="221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0" customHeight="1">
      <c r="A143" s="3"/>
      <c r="B143" s="3"/>
      <c r="C143" s="221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0" customHeight="1">
      <c r="A144" s="3"/>
      <c r="B144" s="3"/>
      <c r="C144" s="221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0" customHeight="1">
      <c r="A145" s="3"/>
      <c r="B145" s="3"/>
      <c r="C145" s="221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0" customHeight="1">
      <c r="A146" s="3"/>
      <c r="B146" s="3"/>
      <c r="C146" s="221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0" customHeight="1">
      <c r="A147" s="3"/>
      <c r="B147" s="3"/>
      <c r="C147" s="221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0" customHeight="1">
      <c r="A148" s="3"/>
      <c r="B148" s="3"/>
      <c r="C148" s="221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0" customHeight="1">
      <c r="A149" s="3"/>
      <c r="B149" s="3"/>
      <c r="C149" s="221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0" customHeight="1">
      <c r="A150" s="3"/>
      <c r="B150" s="3"/>
      <c r="C150" s="221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0" customHeight="1">
      <c r="A151" s="3"/>
      <c r="B151" s="3"/>
      <c r="C151" s="221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0" customHeight="1">
      <c r="A152" s="3"/>
      <c r="B152" s="3"/>
      <c r="C152" s="221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0" customHeight="1">
      <c r="A153" s="3"/>
      <c r="B153" s="3"/>
      <c r="C153" s="221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0" customHeight="1">
      <c r="A154" s="3"/>
      <c r="B154" s="3"/>
      <c r="C154" s="221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0" customHeight="1">
      <c r="A155" s="3"/>
      <c r="B155" s="3"/>
      <c r="C155" s="221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0" customHeight="1">
      <c r="A156" s="3"/>
      <c r="B156" s="3"/>
      <c r="C156" s="221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0" customHeight="1">
      <c r="A157" s="3"/>
      <c r="B157" s="3"/>
      <c r="C157" s="221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0" customHeight="1">
      <c r="A158" s="3"/>
      <c r="B158" s="3"/>
      <c r="C158" s="221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0" customHeight="1">
      <c r="A159" s="3"/>
      <c r="B159" s="3"/>
      <c r="C159" s="221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0" customHeight="1">
      <c r="A160" s="3"/>
      <c r="B160" s="3"/>
      <c r="C160" s="221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0" customHeight="1">
      <c r="A161" s="3"/>
      <c r="B161" s="3"/>
      <c r="C161" s="221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0" customHeight="1">
      <c r="A162" s="3"/>
      <c r="B162" s="3"/>
      <c r="C162" s="221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0" customHeight="1">
      <c r="A163" s="3"/>
      <c r="B163" s="3"/>
      <c r="C163" s="221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0" customHeight="1">
      <c r="A164" s="3"/>
      <c r="B164" s="3"/>
      <c r="C164" s="221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0" customHeight="1">
      <c r="A165" s="3"/>
      <c r="B165" s="3"/>
      <c r="C165" s="221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0" customHeight="1">
      <c r="A166" s="3"/>
      <c r="B166" s="3"/>
      <c r="C166" s="221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0" customHeight="1">
      <c r="A167" s="3"/>
      <c r="B167" s="3"/>
      <c r="C167" s="221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0" customHeight="1">
      <c r="A168" s="3"/>
      <c r="B168" s="3"/>
      <c r="C168" s="221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0" customHeight="1">
      <c r="A169" s="3"/>
      <c r="B169" s="3"/>
      <c r="C169" s="221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0" customHeight="1">
      <c r="A170" s="3"/>
      <c r="B170" s="3"/>
      <c r="C170" s="221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0" customHeight="1">
      <c r="A171" s="3"/>
      <c r="B171" s="3"/>
      <c r="C171" s="221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0" customHeight="1">
      <c r="A172" s="3"/>
      <c r="B172" s="3"/>
      <c r="C172" s="221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0" customHeight="1">
      <c r="A173" s="3"/>
      <c r="B173" s="3"/>
      <c r="C173" s="221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0" customHeight="1">
      <c r="A174" s="3"/>
      <c r="B174" s="3"/>
      <c r="C174" s="221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0" customHeight="1">
      <c r="A175" s="3"/>
      <c r="B175" s="3"/>
      <c r="C175" s="221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0" customHeight="1">
      <c r="A176" s="3"/>
      <c r="B176" s="3"/>
      <c r="C176" s="221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0" customHeight="1">
      <c r="A177" s="3"/>
      <c r="B177" s="3"/>
      <c r="C177" s="221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0" customHeight="1">
      <c r="A178" s="3"/>
      <c r="B178" s="3"/>
      <c r="C178" s="221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0" customHeight="1">
      <c r="A179" s="3"/>
      <c r="B179" s="3"/>
      <c r="C179" s="221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0" customHeight="1">
      <c r="A180" s="3"/>
      <c r="B180" s="3"/>
      <c r="C180" s="221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0" customHeight="1">
      <c r="A181" s="3"/>
      <c r="B181" s="3"/>
      <c r="C181" s="221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0" customHeight="1">
      <c r="A182" s="3"/>
      <c r="B182" s="3"/>
      <c r="C182" s="221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0" customHeight="1">
      <c r="A183" s="3"/>
      <c r="B183" s="3"/>
      <c r="C183" s="221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0" customHeight="1">
      <c r="A184" s="3"/>
      <c r="B184" s="3"/>
      <c r="C184" s="221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0" customHeight="1">
      <c r="A185" s="3"/>
      <c r="B185" s="3"/>
      <c r="C185" s="221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0" customHeight="1">
      <c r="A186" s="3"/>
      <c r="B186" s="3"/>
      <c r="C186" s="221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0" customHeight="1">
      <c r="A187" s="3"/>
      <c r="B187" s="3"/>
      <c r="C187" s="221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0" customHeight="1">
      <c r="A188" s="3"/>
      <c r="B188" s="3"/>
      <c r="C188" s="221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0" customHeight="1">
      <c r="A189" s="3"/>
      <c r="B189" s="3"/>
      <c r="C189" s="221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0" customHeight="1">
      <c r="A190" s="3"/>
      <c r="B190" s="3"/>
      <c r="C190" s="221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0" customHeight="1">
      <c r="A191" s="3"/>
      <c r="B191" s="3"/>
      <c r="C191" s="221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0" customHeight="1">
      <c r="A192" s="3"/>
      <c r="B192" s="3"/>
      <c r="C192" s="221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0" customHeight="1">
      <c r="A193" s="3"/>
      <c r="B193" s="3"/>
      <c r="C193" s="221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0" customHeight="1">
      <c r="A194" s="3"/>
      <c r="B194" s="3"/>
      <c r="C194" s="221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0" customHeight="1">
      <c r="A195" s="3"/>
      <c r="B195" s="3"/>
      <c r="C195" s="221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0" customHeight="1">
      <c r="A196" s="3"/>
      <c r="B196" s="3"/>
      <c r="C196" s="221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0" customHeight="1">
      <c r="A197" s="3"/>
      <c r="B197" s="3"/>
      <c r="C197" s="221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0" customHeight="1">
      <c r="A198" s="3"/>
      <c r="B198" s="3"/>
      <c r="C198" s="221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0" customHeight="1">
      <c r="A199" s="3"/>
      <c r="B199" s="3"/>
      <c r="C199" s="221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0" customHeight="1">
      <c r="A200" s="3"/>
      <c r="B200" s="3"/>
      <c r="C200" s="221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0" customHeight="1">
      <c r="A201" s="3"/>
      <c r="B201" s="3"/>
      <c r="C201" s="221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0" customHeight="1">
      <c r="A202" s="3"/>
      <c r="B202" s="3"/>
      <c r="C202" s="221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0" customHeight="1">
      <c r="A203" s="3"/>
      <c r="B203" s="3"/>
      <c r="C203" s="221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0" customHeight="1">
      <c r="A204" s="3"/>
      <c r="B204" s="3"/>
      <c r="C204" s="221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0" customHeight="1">
      <c r="A205" s="3"/>
      <c r="B205" s="3"/>
      <c r="C205" s="221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0" customHeight="1">
      <c r="A206" s="3"/>
      <c r="B206" s="3"/>
      <c r="C206" s="221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0" customHeight="1">
      <c r="A207" s="3"/>
      <c r="B207" s="3"/>
      <c r="C207" s="221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0" customHeight="1">
      <c r="A208" s="3"/>
      <c r="B208" s="3"/>
      <c r="C208" s="221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0" customHeight="1">
      <c r="A209" s="3"/>
      <c r="B209" s="3"/>
      <c r="C209" s="221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0" customHeight="1">
      <c r="A210" s="3"/>
      <c r="B210" s="3"/>
      <c r="C210" s="221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0" customHeight="1">
      <c r="A211" s="3"/>
      <c r="B211" s="3"/>
      <c r="C211" s="221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0" customHeight="1">
      <c r="A212" s="3"/>
      <c r="B212" s="3"/>
      <c r="C212" s="221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0" customHeight="1">
      <c r="A213" s="3"/>
      <c r="B213" s="3"/>
      <c r="C213" s="221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0" customHeight="1">
      <c r="A214" s="3"/>
      <c r="B214" s="3"/>
      <c r="C214" s="221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0" customHeight="1">
      <c r="A215" s="3"/>
      <c r="B215" s="3"/>
      <c r="C215" s="221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0" customHeight="1">
      <c r="A216" s="3"/>
      <c r="B216" s="3"/>
      <c r="C216" s="221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0" customHeight="1">
      <c r="A217" s="3"/>
      <c r="B217" s="3"/>
      <c r="C217" s="221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0" customHeight="1">
      <c r="A218" s="3"/>
      <c r="B218" s="3"/>
      <c r="C218" s="221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0" customHeight="1">
      <c r="A219" s="3"/>
      <c r="B219" s="3"/>
      <c r="C219" s="221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0" customHeight="1">
      <c r="A220" s="3"/>
      <c r="B220" s="3"/>
      <c r="C220" s="221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0" customHeight="1">
      <c r="A221" s="3"/>
      <c r="B221" s="3"/>
      <c r="C221" s="221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0" customHeight="1">
      <c r="A222" s="3"/>
      <c r="B222" s="3"/>
      <c r="C222" s="221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0" customHeight="1">
      <c r="A223" s="3"/>
      <c r="B223" s="3"/>
      <c r="C223" s="221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0" customHeight="1">
      <c r="A224" s="3"/>
      <c r="B224" s="3"/>
      <c r="C224" s="221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0" customHeight="1">
      <c r="A225" s="3"/>
      <c r="B225" s="3"/>
      <c r="C225" s="221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0" customHeight="1">
      <c r="A226" s="3"/>
      <c r="B226" s="3"/>
      <c r="C226" s="221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0" customHeight="1">
      <c r="A227" s="3"/>
      <c r="B227" s="3"/>
      <c r="C227" s="221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0" customHeight="1">
      <c r="A228" s="3"/>
      <c r="B228" s="3"/>
      <c r="C228" s="221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0" customHeight="1">
      <c r="A229" s="3"/>
      <c r="B229" s="3"/>
      <c r="C229" s="221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0" customHeight="1">
      <c r="A230" s="3"/>
      <c r="B230" s="3"/>
      <c r="C230" s="221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0" customHeight="1">
      <c r="A231" s="3"/>
      <c r="B231" s="3"/>
      <c r="C231" s="221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0" customHeight="1">
      <c r="A232" s="3"/>
      <c r="B232" s="3"/>
      <c r="C232" s="221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0" customHeight="1">
      <c r="A233" s="3"/>
      <c r="B233" s="3"/>
      <c r="C233" s="221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0" customHeight="1">
      <c r="A234" s="3"/>
      <c r="B234" s="3"/>
      <c r="C234" s="221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0" customHeight="1">
      <c r="A235" s="3"/>
      <c r="B235" s="3"/>
      <c r="C235" s="221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0" customHeight="1">
      <c r="A236" s="3"/>
      <c r="B236" s="3"/>
      <c r="C236" s="221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0" customHeight="1">
      <c r="A237" s="3"/>
      <c r="B237" s="3"/>
      <c r="C237" s="221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0" customHeight="1">
      <c r="A238" s="3"/>
      <c r="B238" s="3"/>
      <c r="C238" s="221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0" customHeight="1">
      <c r="A239" s="3"/>
      <c r="B239" s="3"/>
      <c r="C239" s="221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0" customHeight="1">
      <c r="A240" s="3"/>
      <c r="B240" s="3"/>
      <c r="C240" s="221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0" customHeight="1">
      <c r="A241" s="3"/>
      <c r="B241" s="3"/>
      <c r="C241" s="221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0" customHeight="1">
      <c r="A242" s="3"/>
      <c r="B242" s="3"/>
      <c r="C242" s="221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0" customHeight="1">
      <c r="A243" s="3"/>
      <c r="B243" s="3"/>
      <c r="C243" s="221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0" customHeight="1">
      <c r="A244" s="3"/>
      <c r="B244" s="3"/>
      <c r="C244" s="221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0" customHeight="1">
      <c r="A245" s="3"/>
      <c r="B245" s="3"/>
      <c r="C245" s="221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0" customHeight="1">
      <c r="A246" s="3"/>
      <c r="B246" s="3"/>
      <c r="C246" s="221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0" customHeight="1">
      <c r="A247" s="3"/>
      <c r="B247" s="3"/>
      <c r="C247" s="221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0" customHeight="1">
      <c r="A248" s="3"/>
      <c r="B248" s="3"/>
      <c r="C248" s="221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0" customHeight="1">
      <c r="A249" s="3"/>
      <c r="B249" s="3"/>
      <c r="C249" s="221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0" customHeight="1">
      <c r="A250" s="3"/>
      <c r="B250" s="3"/>
      <c r="C250" s="221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0" customHeight="1">
      <c r="A251" s="3"/>
      <c r="B251" s="3"/>
      <c r="C251" s="221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0" customHeight="1">
      <c r="A252" s="3"/>
      <c r="B252" s="3"/>
      <c r="C252" s="221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0" customHeight="1">
      <c r="A253" s="3"/>
      <c r="B253" s="3"/>
      <c r="C253" s="221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0" customHeight="1">
      <c r="A254" s="3"/>
      <c r="B254" s="3"/>
      <c r="C254" s="221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0" customHeight="1">
      <c r="A255" s="3"/>
      <c r="B255" s="3"/>
      <c r="C255" s="221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0" customHeight="1">
      <c r="A256" s="3"/>
      <c r="B256" s="3"/>
      <c r="C256" s="221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0" customHeight="1">
      <c r="A257" s="3"/>
      <c r="B257" s="3"/>
      <c r="C257" s="221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0" customHeight="1">
      <c r="A258" s="3"/>
      <c r="B258" s="3"/>
      <c r="C258" s="221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0" customHeight="1">
      <c r="A259" s="3"/>
      <c r="B259" s="3"/>
      <c r="C259" s="221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0" customHeight="1">
      <c r="A260" s="3"/>
      <c r="B260" s="3"/>
      <c r="C260" s="221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0" customHeight="1">
      <c r="A261" s="3"/>
      <c r="B261" s="3"/>
      <c r="C261" s="221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0" customHeight="1">
      <c r="A262" s="3"/>
      <c r="B262" s="3"/>
      <c r="C262" s="221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0" customHeight="1">
      <c r="A263" s="3"/>
      <c r="B263" s="3"/>
      <c r="C263" s="221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0" customHeight="1">
      <c r="A264" s="3"/>
      <c r="B264" s="3"/>
      <c r="C264" s="221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0" customHeight="1">
      <c r="A265" s="3"/>
      <c r="B265" s="3"/>
      <c r="C265" s="221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0" customHeight="1">
      <c r="A266" s="3"/>
      <c r="B266" s="3"/>
      <c r="C266" s="221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0" customHeight="1">
      <c r="A267" s="3"/>
      <c r="B267" s="3"/>
      <c r="C267" s="221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0" customHeight="1">
      <c r="A268" s="3"/>
      <c r="B268" s="3"/>
      <c r="C268" s="221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0" customHeight="1">
      <c r="A269" s="3"/>
      <c r="B269" s="3"/>
      <c r="C269" s="221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0" customHeight="1">
      <c r="A270" s="3"/>
      <c r="B270" s="3"/>
      <c r="C270" s="221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0" customHeight="1">
      <c r="A271" s="3"/>
      <c r="B271" s="3"/>
      <c r="C271" s="221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0" customHeight="1">
      <c r="A272" s="3"/>
      <c r="B272" s="3"/>
      <c r="C272" s="221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0" customHeight="1">
      <c r="A273" s="3"/>
      <c r="B273" s="3"/>
      <c r="C273" s="221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0" customHeight="1">
      <c r="A274" s="3"/>
      <c r="B274" s="3"/>
      <c r="C274" s="221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0" customHeight="1">
      <c r="A275" s="3"/>
      <c r="B275" s="3"/>
      <c r="C275" s="221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0" customHeight="1">
      <c r="A276" s="3"/>
      <c r="B276" s="3"/>
      <c r="C276" s="221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0" customHeight="1">
      <c r="A277" s="3"/>
      <c r="B277" s="3"/>
      <c r="C277" s="221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0" customHeight="1">
      <c r="A278" s="3"/>
      <c r="B278" s="3"/>
      <c r="C278" s="221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0" customHeight="1">
      <c r="A279" s="3"/>
      <c r="B279" s="3"/>
      <c r="C279" s="221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0" customHeight="1">
      <c r="A280" s="3"/>
      <c r="B280" s="3"/>
      <c r="C280" s="221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0" customHeight="1">
      <c r="A281" s="3"/>
      <c r="B281" s="3"/>
      <c r="C281" s="221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0" customHeight="1">
      <c r="A282" s="3"/>
      <c r="B282" s="3"/>
      <c r="C282" s="221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0" customHeight="1">
      <c r="A283" s="3"/>
      <c r="B283" s="3"/>
      <c r="C283" s="221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0" customHeight="1">
      <c r="A284" s="3"/>
      <c r="B284" s="3"/>
      <c r="C284" s="221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0" customHeight="1">
      <c r="A285" s="3"/>
      <c r="B285" s="3"/>
      <c r="C285" s="221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0" customHeight="1">
      <c r="A286" s="3"/>
      <c r="B286" s="3"/>
      <c r="C286" s="221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0" customHeight="1">
      <c r="A287" s="3"/>
      <c r="B287" s="3"/>
      <c r="C287" s="221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0" customHeight="1">
      <c r="A288" s="3"/>
      <c r="B288" s="3"/>
      <c r="C288" s="221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0" customHeight="1">
      <c r="A289" s="3"/>
      <c r="B289" s="3"/>
      <c r="C289" s="221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0" customHeight="1">
      <c r="A290" s="3"/>
      <c r="B290" s="3"/>
      <c r="C290" s="221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0" customHeight="1">
      <c r="A291" s="3"/>
      <c r="B291" s="3"/>
      <c r="C291" s="221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0" customHeight="1">
      <c r="A292" s="3"/>
      <c r="B292" s="3"/>
      <c r="C292" s="221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0" customHeight="1">
      <c r="A293" s="3"/>
      <c r="B293" s="3"/>
      <c r="C293" s="221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0" customHeight="1">
      <c r="A294" s="3"/>
      <c r="B294" s="3"/>
      <c r="C294" s="221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0" customHeight="1">
      <c r="A295" s="3"/>
      <c r="B295" s="3"/>
      <c r="C295" s="221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0" customHeight="1">
      <c r="A296" s="3"/>
      <c r="B296" s="3"/>
      <c r="C296" s="221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0" customHeight="1">
      <c r="A297" s="3"/>
      <c r="B297" s="3"/>
      <c r="C297" s="221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0" customHeight="1">
      <c r="A298" s="3"/>
      <c r="B298" s="3"/>
      <c r="C298" s="221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0" customHeight="1">
      <c r="A299" s="3"/>
      <c r="B299" s="3"/>
      <c r="C299" s="221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0" customHeight="1">
      <c r="A300" s="3"/>
      <c r="B300" s="3"/>
      <c r="C300" s="221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0" customHeight="1">
      <c r="A301" s="3"/>
      <c r="B301" s="3"/>
      <c r="C301" s="221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0" customHeight="1">
      <c r="A302" s="3"/>
      <c r="B302" s="3"/>
      <c r="C302" s="221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0" customHeight="1">
      <c r="A303" s="3"/>
      <c r="B303" s="3"/>
      <c r="C303" s="221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0" customHeight="1">
      <c r="A304" s="3"/>
      <c r="B304" s="3"/>
      <c r="C304" s="221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0" customHeight="1">
      <c r="A305" s="3"/>
      <c r="B305" s="3"/>
      <c r="C305" s="221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0" customHeight="1">
      <c r="A306" s="3"/>
      <c r="B306" s="3"/>
      <c r="C306" s="221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0" customHeight="1">
      <c r="A307" s="3"/>
      <c r="B307" s="3"/>
      <c r="C307" s="221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0" customHeight="1">
      <c r="A308" s="3"/>
      <c r="B308" s="3"/>
      <c r="C308" s="221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0" customHeight="1">
      <c r="A309" s="3"/>
      <c r="B309" s="3"/>
      <c r="C309" s="221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0" customHeight="1">
      <c r="A310" s="3"/>
      <c r="B310" s="3"/>
      <c r="C310" s="221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0" customHeight="1">
      <c r="A311" s="3"/>
      <c r="B311" s="3"/>
      <c r="C311" s="221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0" customHeight="1">
      <c r="A312" s="3"/>
      <c r="B312" s="3"/>
      <c r="C312" s="221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0" customHeight="1">
      <c r="A313" s="3"/>
      <c r="B313" s="3"/>
      <c r="C313" s="221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0" customHeight="1">
      <c r="A314" s="3"/>
      <c r="B314" s="3"/>
      <c r="C314" s="221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0" customHeight="1">
      <c r="A315" s="3"/>
      <c r="B315" s="3"/>
      <c r="C315" s="221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0" customHeight="1">
      <c r="A316" s="3"/>
      <c r="B316" s="3"/>
      <c r="C316" s="221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0" customHeight="1">
      <c r="A317" s="3"/>
      <c r="B317" s="3"/>
      <c r="C317" s="221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0" customHeight="1">
      <c r="A318" s="3"/>
      <c r="B318" s="3"/>
      <c r="C318" s="221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0" customHeight="1">
      <c r="A319" s="3"/>
      <c r="B319" s="3"/>
      <c r="C319" s="221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0" customHeight="1">
      <c r="A320" s="3"/>
      <c r="B320" s="3"/>
      <c r="C320" s="221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0" customHeight="1">
      <c r="A321" s="3"/>
      <c r="B321" s="3"/>
      <c r="C321" s="221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0" customHeight="1">
      <c r="A322" s="3"/>
      <c r="B322" s="3"/>
      <c r="C322" s="221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0" customHeight="1">
      <c r="A323" s="3"/>
      <c r="B323" s="3"/>
      <c r="C323" s="221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0" customHeight="1">
      <c r="A324" s="3"/>
      <c r="B324" s="3"/>
      <c r="C324" s="221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0" customHeight="1">
      <c r="A325" s="3"/>
      <c r="B325" s="3"/>
      <c r="C325" s="221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0" customHeight="1">
      <c r="A326" s="3"/>
      <c r="B326" s="3"/>
      <c r="C326" s="221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0" customHeight="1">
      <c r="A327" s="3"/>
      <c r="B327" s="3"/>
      <c r="C327" s="221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0" customHeight="1">
      <c r="A328" s="3"/>
      <c r="B328" s="3"/>
      <c r="C328" s="221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0" customHeight="1">
      <c r="A329" s="3"/>
      <c r="B329" s="3"/>
      <c r="C329" s="221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0" customHeight="1">
      <c r="A330" s="3"/>
      <c r="B330" s="3"/>
      <c r="C330" s="221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0" customHeight="1">
      <c r="A331" s="3"/>
      <c r="B331" s="3"/>
      <c r="C331" s="221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0" customHeight="1">
      <c r="A332" s="3"/>
      <c r="B332" s="3"/>
      <c r="C332" s="221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0" customHeight="1">
      <c r="A333" s="3"/>
      <c r="B333" s="3"/>
      <c r="C333" s="221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0" customHeight="1">
      <c r="A334" s="3"/>
      <c r="B334" s="3"/>
      <c r="C334" s="221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0" customHeight="1">
      <c r="A335" s="3"/>
      <c r="B335" s="3"/>
      <c r="C335" s="221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0" customHeight="1">
      <c r="A336" s="3"/>
      <c r="B336" s="3"/>
      <c r="C336" s="221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0" customHeight="1">
      <c r="A337" s="3"/>
      <c r="B337" s="3"/>
      <c r="C337" s="221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0" customHeight="1">
      <c r="A338" s="3"/>
      <c r="B338" s="3"/>
      <c r="C338" s="221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0" customHeight="1">
      <c r="A339" s="3"/>
      <c r="B339" s="3"/>
      <c r="C339" s="221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0" customHeight="1">
      <c r="A340" s="3"/>
      <c r="B340" s="3"/>
      <c r="C340" s="221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0" customHeight="1">
      <c r="A341" s="3"/>
      <c r="B341" s="3"/>
      <c r="C341" s="221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0" customHeight="1">
      <c r="A342" s="3"/>
      <c r="B342" s="3"/>
      <c r="C342" s="221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0" customHeight="1">
      <c r="A343" s="3"/>
      <c r="B343" s="3"/>
      <c r="C343" s="221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0" customHeight="1">
      <c r="A344" s="3"/>
      <c r="B344" s="3"/>
      <c r="C344" s="221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0" customHeight="1">
      <c r="A345" s="3"/>
      <c r="B345" s="3"/>
      <c r="C345" s="221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0" customHeight="1">
      <c r="A346" s="3"/>
      <c r="B346" s="3"/>
      <c r="C346" s="221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0" customHeight="1">
      <c r="A347" s="3"/>
      <c r="B347" s="3"/>
      <c r="C347" s="221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0" customHeight="1">
      <c r="A348" s="3"/>
      <c r="B348" s="3"/>
      <c r="C348" s="221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0" customHeight="1">
      <c r="A349" s="3"/>
      <c r="B349" s="3"/>
      <c r="C349" s="221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0" customHeight="1">
      <c r="A350" s="3"/>
      <c r="B350" s="3"/>
      <c r="C350" s="221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0" customHeight="1">
      <c r="A351" s="3"/>
      <c r="B351" s="3"/>
      <c r="C351" s="221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0" customHeight="1">
      <c r="A352" s="3"/>
      <c r="B352" s="3"/>
      <c r="C352" s="221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0" customHeight="1">
      <c r="A353" s="3"/>
      <c r="B353" s="3"/>
      <c r="C353" s="221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0" customHeight="1">
      <c r="A354" s="3"/>
      <c r="B354" s="3"/>
      <c r="C354" s="221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0" customHeight="1">
      <c r="A355" s="3"/>
      <c r="B355" s="3"/>
      <c r="C355" s="221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0" customHeight="1">
      <c r="A356" s="3"/>
      <c r="B356" s="3"/>
      <c r="C356" s="221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0" customHeight="1">
      <c r="A357" s="3"/>
      <c r="B357" s="3"/>
      <c r="C357" s="221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0" customHeight="1">
      <c r="A358" s="3"/>
      <c r="B358" s="3"/>
      <c r="C358" s="221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0" customHeight="1">
      <c r="A359" s="3"/>
      <c r="B359" s="3"/>
      <c r="C359" s="221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0" customHeight="1">
      <c r="A360" s="3"/>
      <c r="B360" s="3"/>
      <c r="C360" s="221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0" customHeight="1">
      <c r="A361" s="3"/>
      <c r="B361" s="3"/>
      <c r="C361" s="221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0" customHeight="1">
      <c r="A362" s="3"/>
      <c r="B362" s="3"/>
      <c r="C362" s="221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0" customHeight="1">
      <c r="A363" s="3"/>
      <c r="B363" s="3"/>
      <c r="C363" s="221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0" customHeight="1">
      <c r="A364" s="3"/>
      <c r="B364" s="3"/>
      <c r="C364" s="221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0" customHeight="1">
      <c r="A365" s="3"/>
      <c r="B365" s="3"/>
      <c r="C365" s="221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0" customHeight="1">
      <c r="A366" s="3"/>
      <c r="B366" s="3"/>
      <c r="C366" s="221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0" customHeight="1">
      <c r="A367" s="3"/>
      <c r="B367" s="3"/>
      <c r="C367" s="221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0" customHeight="1">
      <c r="A368" s="3"/>
      <c r="B368" s="3"/>
      <c r="C368" s="221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0" customHeight="1">
      <c r="A369" s="3"/>
      <c r="B369" s="3"/>
      <c r="C369" s="221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0" customHeight="1">
      <c r="A370" s="3"/>
      <c r="B370" s="3"/>
      <c r="C370" s="221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0" customHeight="1">
      <c r="A371" s="3"/>
      <c r="B371" s="3"/>
      <c r="C371" s="221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0" customHeight="1">
      <c r="A372" s="3"/>
      <c r="B372" s="3"/>
      <c r="C372" s="221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0" customHeight="1">
      <c r="A373" s="3"/>
      <c r="B373" s="3"/>
      <c r="C373" s="221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0" customHeight="1">
      <c r="A374" s="3"/>
      <c r="B374" s="3"/>
      <c r="C374" s="221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0" customHeight="1">
      <c r="A375" s="3"/>
      <c r="B375" s="3"/>
      <c r="C375" s="221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0" customHeight="1">
      <c r="A376" s="3"/>
      <c r="B376" s="3"/>
      <c r="C376" s="221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0" customHeight="1">
      <c r="A377" s="3"/>
      <c r="B377" s="3"/>
      <c r="C377" s="221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0" customHeight="1">
      <c r="A378" s="3"/>
      <c r="B378" s="3"/>
      <c r="C378" s="221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0" customHeight="1">
      <c r="A379" s="3"/>
      <c r="B379" s="3"/>
      <c r="C379" s="221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0" customHeight="1">
      <c r="A380" s="3"/>
      <c r="B380" s="3"/>
      <c r="C380" s="221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0" customHeight="1">
      <c r="A381" s="3"/>
      <c r="B381" s="3"/>
      <c r="C381" s="221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0" customHeight="1">
      <c r="A382" s="3"/>
      <c r="B382" s="3"/>
      <c r="C382" s="221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0" customHeight="1">
      <c r="A383" s="3"/>
      <c r="B383" s="3"/>
      <c r="C383" s="221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0" customHeight="1">
      <c r="A384" s="3"/>
      <c r="B384" s="3"/>
      <c r="C384" s="221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0" customHeight="1">
      <c r="A385" s="3"/>
      <c r="B385" s="3"/>
      <c r="C385" s="221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0" customHeight="1">
      <c r="A386" s="3"/>
      <c r="B386" s="3"/>
      <c r="C386" s="221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0" customHeight="1">
      <c r="A387" s="3"/>
      <c r="B387" s="3"/>
      <c r="C387" s="221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0" customHeight="1">
      <c r="A388" s="3"/>
      <c r="B388" s="3"/>
      <c r="C388" s="221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0" customHeight="1">
      <c r="A389" s="3"/>
      <c r="B389" s="3"/>
      <c r="C389" s="221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0" customHeight="1">
      <c r="A390" s="3"/>
      <c r="B390" s="3"/>
      <c r="C390" s="221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0" customHeight="1">
      <c r="A391" s="3"/>
      <c r="B391" s="3"/>
      <c r="C391" s="221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0" customHeight="1">
      <c r="A392" s="3"/>
      <c r="B392" s="3"/>
      <c r="C392" s="221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0" customHeight="1">
      <c r="A393" s="3"/>
      <c r="B393" s="3"/>
      <c r="C393" s="221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0" customHeight="1">
      <c r="A394" s="3"/>
      <c r="B394" s="3"/>
      <c r="C394" s="221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0" customHeight="1">
      <c r="A395" s="3"/>
      <c r="B395" s="3"/>
      <c r="C395" s="221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0" customHeight="1">
      <c r="A396" s="3"/>
      <c r="B396" s="3"/>
      <c r="C396" s="221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0" customHeight="1">
      <c r="A397" s="3"/>
      <c r="B397" s="3"/>
      <c r="C397" s="221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0" customHeight="1">
      <c r="A398" s="3"/>
      <c r="B398" s="3"/>
      <c r="C398" s="221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0" customHeight="1">
      <c r="A399" s="3"/>
      <c r="B399" s="3"/>
      <c r="C399" s="221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0" customHeight="1">
      <c r="A400" s="3"/>
      <c r="B400" s="3"/>
      <c r="C400" s="221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0" customHeight="1">
      <c r="A401" s="3"/>
      <c r="B401" s="3"/>
      <c r="C401" s="221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0" customHeight="1">
      <c r="A402" s="3"/>
      <c r="B402" s="3"/>
      <c r="C402" s="221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0" customHeight="1">
      <c r="A403" s="3"/>
      <c r="B403" s="3"/>
      <c r="C403" s="221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0" customHeight="1">
      <c r="A404" s="3"/>
      <c r="B404" s="3"/>
      <c r="C404" s="221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0" customHeight="1">
      <c r="A405" s="3"/>
      <c r="B405" s="3"/>
      <c r="C405" s="221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0" customHeight="1">
      <c r="A406" s="3"/>
      <c r="B406" s="3"/>
      <c r="C406" s="221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0" customHeight="1">
      <c r="A407" s="3"/>
      <c r="B407" s="3"/>
      <c r="C407" s="221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0" customHeight="1">
      <c r="A408" s="3"/>
      <c r="B408" s="3"/>
      <c r="C408" s="221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0" customHeight="1">
      <c r="A409" s="3"/>
      <c r="B409" s="3"/>
      <c r="C409" s="221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0" customHeight="1">
      <c r="A410" s="3"/>
      <c r="B410" s="3"/>
      <c r="C410" s="221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0" customHeight="1">
      <c r="A411" s="3"/>
      <c r="B411" s="3"/>
      <c r="C411" s="221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0" customHeight="1">
      <c r="A412" s="3"/>
      <c r="B412" s="3"/>
      <c r="C412" s="221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0" customHeight="1">
      <c r="A413" s="3"/>
      <c r="B413" s="3"/>
      <c r="C413" s="221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0" customHeight="1">
      <c r="A414" s="3"/>
      <c r="B414" s="3"/>
      <c r="C414" s="221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0" customHeight="1">
      <c r="A415" s="3"/>
      <c r="B415" s="3"/>
      <c r="C415" s="221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0" customHeight="1">
      <c r="A416" s="3"/>
      <c r="B416" s="3"/>
      <c r="C416" s="221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0" customHeight="1">
      <c r="A417" s="3"/>
      <c r="B417" s="3"/>
      <c r="C417" s="221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0" customHeight="1">
      <c r="A418" s="3"/>
      <c r="B418" s="3"/>
      <c r="C418" s="221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0" customHeight="1">
      <c r="A419" s="3"/>
      <c r="B419" s="3"/>
      <c r="C419" s="221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0" customHeight="1">
      <c r="A420" s="3"/>
      <c r="B420" s="3"/>
      <c r="C420" s="221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0" customHeight="1">
      <c r="A421" s="3"/>
      <c r="B421" s="3"/>
      <c r="C421" s="221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0" customHeight="1">
      <c r="A422" s="3"/>
      <c r="B422" s="3"/>
      <c r="C422" s="221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0" customHeight="1">
      <c r="A423" s="3"/>
      <c r="B423" s="3"/>
      <c r="C423" s="221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0" customHeight="1">
      <c r="A424" s="3"/>
      <c r="B424" s="3"/>
      <c r="C424" s="221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0" customHeight="1">
      <c r="A425" s="3"/>
      <c r="B425" s="3"/>
      <c r="C425" s="221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0" customHeight="1">
      <c r="A426" s="3"/>
      <c r="B426" s="3"/>
      <c r="C426" s="221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0" customHeight="1">
      <c r="A427" s="3"/>
      <c r="B427" s="3"/>
      <c r="C427" s="221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0" customHeight="1">
      <c r="A428" s="3"/>
      <c r="B428" s="3"/>
      <c r="C428" s="221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0" customHeight="1">
      <c r="A429" s="3"/>
      <c r="B429" s="3"/>
      <c r="C429" s="221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0" customHeight="1">
      <c r="A430" s="3"/>
      <c r="B430" s="3"/>
      <c r="C430" s="221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0" customHeight="1">
      <c r="A431" s="3"/>
      <c r="B431" s="3"/>
      <c r="C431" s="221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0" customHeight="1">
      <c r="A432" s="3"/>
      <c r="B432" s="3"/>
      <c r="C432" s="221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0" customHeight="1">
      <c r="A433" s="3"/>
      <c r="B433" s="3"/>
      <c r="C433" s="221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0" customHeight="1">
      <c r="A434" s="3"/>
      <c r="B434" s="3"/>
      <c r="C434" s="221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0" customHeight="1">
      <c r="A435" s="3"/>
      <c r="B435" s="3"/>
      <c r="C435" s="221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0" customHeight="1">
      <c r="A436" s="3"/>
      <c r="B436" s="3"/>
      <c r="C436" s="221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0" customHeight="1">
      <c r="A437" s="3"/>
      <c r="B437" s="3"/>
      <c r="C437" s="221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0" customHeight="1">
      <c r="A438" s="3"/>
      <c r="B438" s="3"/>
      <c r="C438" s="221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0" customHeight="1">
      <c r="A439" s="3"/>
      <c r="B439" s="3"/>
      <c r="C439" s="221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0" customHeight="1">
      <c r="A440" s="3"/>
      <c r="B440" s="3"/>
      <c r="C440" s="221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0" customHeight="1">
      <c r="A441" s="3"/>
      <c r="B441" s="3"/>
      <c r="C441" s="221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0" customHeight="1">
      <c r="A442" s="3"/>
      <c r="B442" s="3"/>
      <c r="C442" s="221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0" customHeight="1">
      <c r="A443" s="3"/>
      <c r="B443" s="3"/>
      <c r="C443" s="221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0" customHeight="1">
      <c r="A444" s="3"/>
      <c r="B444" s="3"/>
      <c r="C444" s="221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0" customHeight="1">
      <c r="A445" s="3"/>
      <c r="B445" s="3"/>
      <c r="C445" s="221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0" customHeight="1">
      <c r="A446" s="3"/>
      <c r="B446" s="3"/>
      <c r="C446" s="221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0" customHeight="1">
      <c r="A447" s="3"/>
      <c r="B447" s="3"/>
      <c r="C447" s="221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0" customHeight="1">
      <c r="A448" s="3"/>
      <c r="B448" s="3"/>
      <c r="C448" s="221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0" customHeight="1">
      <c r="A449" s="3"/>
      <c r="B449" s="3"/>
      <c r="C449" s="221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0" customHeight="1">
      <c r="A450" s="3"/>
      <c r="B450" s="3"/>
      <c r="C450" s="221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0" customHeight="1">
      <c r="A451" s="3"/>
      <c r="B451" s="3"/>
      <c r="C451" s="221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0" customHeight="1">
      <c r="A452" s="3"/>
      <c r="B452" s="3"/>
      <c r="C452" s="221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0" customHeight="1">
      <c r="A453" s="3"/>
      <c r="B453" s="3"/>
      <c r="C453" s="221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0" customHeight="1">
      <c r="A454" s="3"/>
      <c r="B454" s="3"/>
      <c r="C454" s="221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0" customHeight="1">
      <c r="A455" s="3"/>
      <c r="B455" s="3"/>
      <c r="C455" s="221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0" customHeight="1">
      <c r="A456" s="3"/>
      <c r="B456" s="3"/>
      <c r="C456" s="221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0" customHeight="1">
      <c r="A457" s="3"/>
      <c r="B457" s="3"/>
      <c r="C457" s="221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0" customHeight="1">
      <c r="A458" s="3"/>
      <c r="B458" s="3"/>
      <c r="C458" s="221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0" customHeight="1">
      <c r="A459" s="3"/>
      <c r="B459" s="3"/>
      <c r="C459" s="221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0" customHeight="1">
      <c r="A460" s="3"/>
      <c r="B460" s="3"/>
      <c r="C460" s="221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0" customHeight="1">
      <c r="A461" s="3"/>
      <c r="B461" s="3"/>
      <c r="C461" s="221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0" customHeight="1">
      <c r="A462" s="3"/>
      <c r="B462" s="3"/>
      <c r="C462" s="221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0" customHeight="1">
      <c r="A463" s="3"/>
      <c r="B463" s="3"/>
      <c r="C463" s="221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0" customHeight="1">
      <c r="A464" s="3"/>
      <c r="B464" s="3"/>
      <c r="C464" s="221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0" customHeight="1">
      <c r="A465" s="3"/>
      <c r="B465" s="3"/>
      <c r="C465" s="221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0" customHeight="1">
      <c r="A466" s="3"/>
      <c r="B466" s="3"/>
      <c r="C466" s="221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0" customHeight="1">
      <c r="A467" s="3"/>
      <c r="B467" s="3"/>
      <c r="C467" s="221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0" customHeight="1">
      <c r="A468" s="3"/>
      <c r="B468" s="3"/>
      <c r="C468" s="221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0" customHeight="1">
      <c r="A469" s="3"/>
      <c r="B469" s="3"/>
      <c r="C469" s="221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0" customHeight="1">
      <c r="A470" s="3"/>
      <c r="B470" s="3"/>
      <c r="C470" s="221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0" customHeight="1">
      <c r="A471" s="3"/>
      <c r="B471" s="3"/>
      <c r="C471" s="221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0" customHeight="1">
      <c r="A472" s="3"/>
      <c r="B472" s="3"/>
      <c r="C472" s="221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0" customHeight="1">
      <c r="A473" s="3"/>
      <c r="B473" s="3"/>
      <c r="C473" s="221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0" customHeight="1">
      <c r="A474" s="3"/>
      <c r="B474" s="3"/>
      <c r="C474" s="221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0" customHeight="1">
      <c r="A475" s="3"/>
      <c r="B475" s="3"/>
      <c r="C475" s="221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0" customHeight="1">
      <c r="A476" s="3"/>
      <c r="B476" s="3"/>
      <c r="C476" s="221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0" customHeight="1">
      <c r="A477" s="3"/>
      <c r="B477" s="3"/>
      <c r="C477" s="221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0" customHeight="1">
      <c r="A478" s="3"/>
      <c r="B478" s="3"/>
      <c r="C478" s="221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0" customHeight="1">
      <c r="A479" s="3"/>
      <c r="B479" s="3"/>
      <c r="C479" s="221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0" customHeight="1">
      <c r="A480" s="3"/>
      <c r="B480" s="3"/>
      <c r="C480" s="221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0" customHeight="1">
      <c r="A481" s="3"/>
      <c r="B481" s="3"/>
      <c r="C481" s="221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0" customHeight="1">
      <c r="A482" s="3"/>
      <c r="B482" s="3"/>
      <c r="C482" s="221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0" customHeight="1">
      <c r="A483" s="3"/>
      <c r="B483" s="3"/>
      <c r="C483" s="221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0" customHeight="1">
      <c r="A484" s="3"/>
      <c r="B484" s="3"/>
      <c r="C484" s="221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0" customHeight="1">
      <c r="A485" s="3"/>
      <c r="B485" s="3"/>
      <c r="C485" s="221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0" customHeight="1">
      <c r="A486" s="3"/>
      <c r="B486" s="3"/>
      <c r="C486" s="221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0" customHeight="1">
      <c r="A487" s="3"/>
      <c r="B487" s="3"/>
      <c r="C487" s="221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0" customHeight="1">
      <c r="A488" s="3"/>
      <c r="B488" s="3"/>
      <c r="C488" s="221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0" customHeight="1">
      <c r="A489" s="3"/>
      <c r="B489" s="3"/>
      <c r="C489" s="221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0" customHeight="1">
      <c r="A490" s="3"/>
      <c r="B490" s="3"/>
      <c r="C490" s="221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0" customHeight="1">
      <c r="A491" s="3"/>
      <c r="B491" s="3"/>
      <c r="C491" s="221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0" customHeight="1">
      <c r="A492" s="3"/>
      <c r="B492" s="3"/>
      <c r="C492" s="221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0" customHeight="1">
      <c r="A493" s="3"/>
      <c r="B493" s="3"/>
      <c r="C493" s="221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0" customHeight="1">
      <c r="A494" s="3"/>
      <c r="B494" s="3"/>
      <c r="C494" s="221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0" customHeight="1">
      <c r="A495" s="3"/>
      <c r="B495" s="3"/>
      <c r="C495" s="221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0" customHeight="1">
      <c r="A496" s="3"/>
      <c r="B496" s="3"/>
      <c r="C496" s="221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0" customHeight="1">
      <c r="A497" s="3"/>
      <c r="B497" s="3"/>
      <c r="C497" s="221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0" customHeight="1">
      <c r="A498" s="3"/>
      <c r="B498" s="3"/>
      <c r="C498" s="221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0" customHeight="1">
      <c r="A499" s="3"/>
      <c r="B499" s="3"/>
      <c r="C499" s="221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0" customHeight="1">
      <c r="A500" s="3"/>
      <c r="B500" s="3"/>
      <c r="C500" s="221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0" customHeight="1">
      <c r="A501" s="3"/>
      <c r="B501" s="3"/>
      <c r="C501" s="221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0" customHeight="1">
      <c r="A502" s="3"/>
      <c r="B502" s="3"/>
      <c r="C502" s="221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0" customHeight="1">
      <c r="A503" s="3"/>
      <c r="B503" s="3"/>
      <c r="C503" s="221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0" customHeight="1">
      <c r="A504" s="3"/>
      <c r="B504" s="3"/>
      <c r="C504" s="221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0" customHeight="1">
      <c r="A505" s="3"/>
      <c r="B505" s="3"/>
      <c r="C505" s="221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0" customHeight="1">
      <c r="A506" s="3"/>
      <c r="B506" s="3"/>
      <c r="C506" s="221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0" customHeight="1">
      <c r="A507" s="3"/>
      <c r="B507" s="3"/>
      <c r="C507" s="221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0" customHeight="1">
      <c r="A508" s="3"/>
      <c r="B508" s="3"/>
      <c r="C508" s="221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0" customHeight="1">
      <c r="A509" s="3"/>
      <c r="B509" s="3"/>
      <c r="C509" s="221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0" customHeight="1">
      <c r="A510" s="3"/>
      <c r="B510" s="3"/>
      <c r="C510" s="221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0" customHeight="1">
      <c r="A511" s="3"/>
      <c r="B511" s="3"/>
      <c r="C511" s="221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0" customHeight="1">
      <c r="A512" s="3"/>
      <c r="B512" s="3"/>
      <c r="C512" s="221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0" customHeight="1">
      <c r="A513" s="3"/>
      <c r="B513" s="3"/>
      <c r="C513" s="221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0" customHeight="1">
      <c r="A514" s="3"/>
      <c r="B514" s="3"/>
      <c r="C514" s="221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0" customHeight="1">
      <c r="A515" s="3"/>
      <c r="B515" s="3"/>
      <c r="C515" s="221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0" customHeight="1">
      <c r="A516" s="3"/>
      <c r="B516" s="3"/>
      <c r="C516" s="221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0" customHeight="1">
      <c r="A517" s="3"/>
      <c r="B517" s="3"/>
      <c r="C517" s="221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0" customHeight="1">
      <c r="A518" s="3"/>
      <c r="B518" s="3"/>
      <c r="C518" s="221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0" customHeight="1">
      <c r="A519" s="3"/>
      <c r="B519" s="3"/>
      <c r="C519" s="221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0" customHeight="1">
      <c r="A520" s="3"/>
      <c r="B520" s="3"/>
      <c r="C520" s="221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0" customHeight="1">
      <c r="A521" s="3"/>
      <c r="B521" s="3"/>
      <c r="C521" s="221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0" customHeight="1">
      <c r="A522" s="3"/>
      <c r="B522" s="3"/>
      <c r="C522" s="221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0" customHeight="1">
      <c r="A523" s="3"/>
      <c r="B523" s="3"/>
      <c r="C523" s="221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0" customHeight="1">
      <c r="A524" s="3"/>
      <c r="B524" s="3"/>
      <c r="C524" s="221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0" customHeight="1">
      <c r="A525" s="3"/>
      <c r="B525" s="3"/>
      <c r="C525" s="221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0" customHeight="1">
      <c r="A526" s="3"/>
      <c r="B526" s="3"/>
      <c r="C526" s="221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0" customHeight="1">
      <c r="A527" s="3"/>
      <c r="B527" s="3"/>
      <c r="C527" s="221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0" customHeight="1">
      <c r="A528" s="3"/>
      <c r="B528" s="3"/>
      <c r="C528" s="221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0" customHeight="1">
      <c r="A529" s="3"/>
      <c r="B529" s="3"/>
      <c r="C529" s="221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0" customHeight="1">
      <c r="A530" s="3"/>
      <c r="B530" s="3"/>
      <c r="C530" s="221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0" customHeight="1">
      <c r="A531" s="3"/>
      <c r="B531" s="3"/>
      <c r="C531" s="221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0" customHeight="1">
      <c r="A532" s="3"/>
      <c r="B532" s="3"/>
      <c r="C532" s="221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0" customHeight="1">
      <c r="A533" s="3"/>
      <c r="B533" s="3"/>
      <c r="C533" s="221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0" customHeight="1">
      <c r="A534" s="3"/>
      <c r="B534" s="3"/>
      <c r="C534" s="221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0" customHeight="1">
      <c r="A535" s="3"/>
      <c r="B535" s="3"/>
      <c r="C535" s="221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0" customHeight="1">
      <c r="A536" s="3"/>
      <c r="B536" s="3"/>
      <c r="C536" s="221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0" customHeight="1">
      <c r="A537" s="3"/>
      <c r="B537" s="3"/>
      <c r="C537" s="221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0" customHeight="1">
      <c r="A538" s="3"/>
      <c r="B538" s="3"/>
      <c r="C538" s="221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0" customHeight="1">
      <c r="A539" s="3"/>
      <c r="B539" s="3"/>
      <c r="C539" s="221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0" customHeight="1">
      <c r="A540" s="3"/>
      <c r="B540" s="3"/>
      <c r="C540" s="221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0" customHeight="1">
      <c r="A541" s="3"/>
      <c r="B541" s="3"/>
      <c r="C541" s="221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0" customHeight="1">
      <c r="A542" s="3"/>
      <c r="B542" s="3"/>
      <c r="C542" s="221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0" customHeight="1">
      <c r="A543" s="3"/>
      <c r="B543" s="3"/>
      <c r="C543" s="221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0" customHeight="1">
      <c r="A544" s="3"/>
      <c r="B544" s="3"/>
      <c r="C544" s="221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0" customHeight="1">
      <c r="A545" s="3"/>
      <c r="B545" s="3"/>
      <c r="C545" s="221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0" customHeight="1">
      <c r="A546" s="3"/>
      <c r="B546" s="3"/>
      <c r="C546" s="221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0" customHeight="1">
      <c r="A547" s="3"/>
      <c r="B547" s="3"/>
      <c r="C547" s="221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0" customHeight="1">
      <c r="A548" s="3"/>
      <c r="B548" s="3"/>
      <c r="C548" s="221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0" customHeight="1">
      <c r="A549" s="3"/>
      <c r="B549" s="3"/>
      <c r="C549" s="221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0" customHeight="1">
      <c r="A550" s="3"/>
      <c r="B550" s="3"/>
      <c r="C550" s="221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0" customHeight="1">
      <c r="A551" s="3"/>
      <c r="B551" s="3"/>
      <c r="C551" s="221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0" customHeight="1">
      <c r="A552" s="3"/>
      <c r="B552" s="3"/>
      <c r="C552" s="221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0" customHeight="1">
      <c r="A553" s="3"/>
      <c r="B553" s="3"/>
      <c r="C553" s="221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0" customHeight="1">
      <c r="A554" s="3"/>
      <c r="B554" s="3"/>
      <c r="C554" s="221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0" customHeight="1">
      <c r="A555" s="3"/>
      <c r="B555" s="3"/>
      <c r="C555" s="221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0" customHeight="1">
      <c r="A556" s="3"/>
      <c r="B556" s="3"/>
      <c r="C556" s="221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0" customHeight="1">
      <c r="A557" s="3"/>
      <c r="B557" s="3"/>
      <c r="C557" s="221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0" customHeight="1">
      <c r="A558" s="3"/>
      <c r="B558" s="3"/>
      <c r="C558" s="221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0" customHeight="1">
      <c r="A559" s="3"/>
      <c r="B559" s="3"/>
      <c r="C559" s="221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0" customHeight="1">
      <c r="A560" s="3"/>
      <c r="B560" s="3"/>
      <c r="C560" s="221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0" customHeight="1">
      <c r="A561" s="3"/>
      <c r="B561" s="3"/>
      <c r="C561" s="221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0" customHeight="1">
      <c r="A562" s="3"/>
      <c r="B562" s="3"/>
      <c r="C562" s="221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0" customHeight="1">
      <c r="A563" s="3"/>
      <c r="B563" s="3"/>
      <c r="C563" s="221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0" customHeight="1">
      <c r="A564" s="3"/>
      <c r="B564" s="3"/>
      <c r="C564" s="221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0" customHeight="1">
      <c r="A565" s="3"/>
      <c r="B565" s="3"/>
      <c r="C565" s="221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0" customHeight="1">
      <c r="A566" s="3"/>
      <c r="B566" s="3"/>
      <c r="C566" s="221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0" customHeight="1">
      <c r="A567" s="3"/>
      <c r="B567" s="3"/>
      <c r="C567" s="221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0" customHeight="1">
      <c r="A568" s="3"/>
      <c r="B568" s="3"/>
      <c r="C568" s="221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0" customHeight="1">
      <c r="A569" s="3"/>
      <c r="B569" s="3"/>
      <c r="C569" s="221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0" customHeight="1">
      <c r="A570" s="3"/>
      <c r="B570" s="3"/>
      <c r="C570" s="221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0" customHeight="1">
      <c r="A571" s="3"/>
      <c r="B571" s="3"/>
      <c r="C571" s="221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0" customHeight="1">
      <c r="A572" s="3"/>
      <c r="B572" s="3"/>
      <c r="C572" s="221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0" customHeight="1">
      <c r="A573" s="3"/>
      <c r="B573" s="3"/>
      <c r="C573" s="221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0" customHeight="1">
      <c r="A574" s="3"/>
      <c r="B574" s="3"/>
      <c r="C574" s="221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0" customHeight="1">
      <c r="A575" s="3"/>
      <c r="B575" s="3"/>
      <c r="C575" s="221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0" customHeight="1">
      <c r="A576" s="3"/>
      <c r="B576" s="3"/>
      <c r="C576" s="221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0" customHeight="1">
      <c r="A577" s="3"/>
      <c r="B577" s="3"/>
      <c r="C577" s="221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0" customHeight="1">
      <c r="A578" s="3"/>
      <c r="B578" s="3"/>
      <c r="C578" s="221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0" customHeight="1">
      <c r="A579" s="3"/>
      <c r="B579" s="3"/>
      <c r="C579" s="221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0" customHeight="1">
      <c r="A580" s="3"/>
      <c r="B580" s="3"/>
      <c r="C580" s="221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0" customHeight="1">
      <c r="A581" s="3"/>
      <c r="B581" s="3"/>
      <c r="C581" s="221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0" customHeight="1">
      <c r="A582" s="3"/>
      <c r="B582" s="3"/>
      <c r="C582" s="221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0" customHeight="1">
      <c r="A583" s="3"/>
      <c r="B583" s="3"/>
      <c r="C583" s="221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0" customHeight="1">
      <c r="A584" s="3"/>
      <c r="B584" s="3"/>
      <c r="C584" s="221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0" customHeight="1">
      <c r="A585" s="3"/>
      <c r="B585" s="3"/>
      <c r="C585" s="221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0" customHeight="1">
      <c r="A586" s="3"/>
      <c r="B586" s="3"/>
      <c r="C586" s="221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0" customHeight="1">
      <c r="A587" s="3"/>
      <c r="B587" s="3"/>
      <c r="C587" s="221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0" customHeight="1">
      <c r="A588" s="3"/>
      <c r="B588" s="3"/>
      <c r="C588" s="221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0" customHeight="1">
      <c r="A589" s="3"/>
      <c r="B589" s="3"/>
      <c r="C589" s="221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0" customHeight="1">
      <c r="A590" s="3"/>
      <c r="B590" s="3"/>
      <c r="C590" s="221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0" customHeight="1">
      <c r="A591" s="3"/>
      <c r="B591" s="3"/>
      <c r="C591" s="221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0" customHeight="1">
      <c r="A592" s="3"/>
      <c r="B592" s="3"/>
      <c r="C592" s="221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0" customHeight="1">
      <c r="A593" s="3"/>
      <c r="B593" s="3"/>
      <c r="C593" s="221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0" customHeight="1">
      <c r="A594" s="3"/>
      <c r="B594" s="3"/>
      <c r="C594" s="221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0" customHeight="1">
      <c r="A595" s="3"/>
      <c r="B595" s="3"/>
      <c r="C595" s="221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0" customHeight="1">
      <c r="A596" s="3"/>
      <c r="B596" s="3"/>
      <c r="C596" s="221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0" customHeight="1">
      <c r="A597" s="3"/>
      <c r="B597" s="3"/>
      <c r="C597" s="221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0" customHeight="1">
      <c r="A598" s="3"/>
      <c r="B598" s="3"/>
      <c r="C598" s="221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0" customHeight="1">
      <c r="A599" s="3"/>
      <c r="B599" s="3"/>
      <c r="C599" s="221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0" customHeight="1">
      <c r="A600" s="3"/>
      <c r="B600" s="3"/>
      <c r="C600" s="221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0" customHeight="1">
      <c r="A601" s="3"/>
      <c r="B601" s="3"/>
      <c r="C601" s="221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0" customHeight="1">
      <c r="A602" s="3"/>
      <c r="B602" s="3"/>
      <c r="C602" s="221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0" customHeight="1">
      <c r="A603" s="3"/>
      <c r="B603" s="3"/>
      <c r="C603" s="221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0" customHeight="1">
      <c r="A604" s="3"/>
      <c r="B604" s="3"/>
      <c r="C604" s="221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0" customHeight="1">
      <c r="A605" s="3"/>
      <c r="B605" s="3"/>
      <c r="C605" s="221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0" customHeight="1">
      <c r="A606" s="3"/>
      <c r="B606" s="3"/>
      <c r="C606" s="221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0" customHeight="1">
      <c r="A607" s="3"/>
      <c r="B607" s="3"/>
      <c r="C607" s="221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0" customHeight="1">
      <c r="A608" s="3"/>
      <c r="B608" s="3"/>
      <c r="C608" s="221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0" customHeight="1">
      <c r="A609" s="3"/>
      <c r="B609" s="3"/>
      <c r="C609" s="221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0" customHeight="1">
      <c r="A610" s="3"/>
      <c r="B610" s="3"/>
      <c r="C610" s="221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0" customHeight="1">
      <c r="A611" s="3"/>
      <c r="B611" s="3"/>
      <c r="C611" s="221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0" customHeight="1">
      <c r="A612" s="3"/>
      <c r="B612" s="3"/>
      <c r="C612" s="221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0" customHeight="1">
      <c r="A613" s="3"/>
      <c r="B613" s="3"/>
      <c r="C613" s="221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0" customHeight="1">
      <c r="A614" s="3"/>
      <c r="B614" s="3"/>
      <c r="C614" s="221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0" customHeight="1">
      <c r="A615" s="3"/>
      <c r="B615" s="3"/>
      <c r="C615" s="221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0" customHeight="1">
      <c r="A616" s="3"/>
      <c r="B616" s="3"/>
      <c r="C616" s="221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0" customHeight="1">
      <c r="A617" s="3"/>
      <c r="B617" s="3"/>
      <c r="C617" s="221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0" customHeight="1">
      <c r="A618" s="3"/>
      <c r="B618" s="3"/>
      <c r="C618" s="221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0" customHeight="1">
      <c r="A619" s="3"/>
      <c r="B619" s="3"/>
      <c r="C619" s="221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0" customHeight="1">
      <c r="A620" s="3"/>
      <c r="B620" s="3"/>
      <c r="C620" s="221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0" customHeight="1">
      <c r="A621" s="3"/>
      <c r="B621" s="3"/>
      <c r="C621" s="221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0" customHeight="1">
      <c r="A622" s="3"/>
      <c r="B622" s="3"/>
      <c r="C622" s="221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0" customHeight="1">
      <c r="A623" s="3"/>
      <c r="B623" s="3"/>
      <c r="C623" s="221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0" customHeight="1">
      <c r="A624" s="3"/>
      <c r="B624" s="3"/>
      <c r="C624" s="221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0" customHeight="1">
      <c r="A625" s="3"/>
      <c r="B625" s="3"/>
      <c r="C625" s="221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0" customHeight="1">
      <c r="A626" s="3"/>
      <c r="B626" s="3"/>
      <c r="C626" s="221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0" customHeight="1">
      <c r="A627" s="3"/>
      <c r="B627" s="3"/>
      <c r="C627" s="221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0" customHeight="1">
      <c r="A628" s="3"/>
      <c r="B628" s="3"/>
      <c r="C628" s="221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0" customHeight="1">
      <c r="A629" s="3"/>
      <c r="B629" s="3"/>
      <c r="C629" s="221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0" customHeight="1">
      <c r="A630" s="3"/>
      <c r="B630" s="3"/>
      <c r="C630" s="221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0" customHeight="1">
      <c r="A631" s="3"/>
      <c r="B631" s="3"/>
      <c r="C631" s="221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0" customHeight="1">
      <c r="A632" s="3"/>
      <c r="B632" s="3"/>
      <c r="C632" s="221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0" customHeight="1">
      <c r="A633" s="3"/>
      <c r="B633" s="3"/>
      <c r="C633" s="221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0" customHeight="1">
      <c r="A634" s="3"/>
      <c r="B634" s="3"/>
      <c r="C634" s="221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0" customHeight="1">
      <c r="A635" s="3"/>
      <c r="B635" s="3"/>
      <c r="C635" s="221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0" customHeight="1">
      <c r="A636" s="3"/>
      <c r="B636" s="3"/>
      <c r="C636" s="221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0" customHeight="1">
      <c r="A637" s="3"/>
      <c r="B637" s="3"/>
      <c r="C637" s="221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0" customHeight="1">
      <c r="A638" s="3"/>
      <c r="B638" s="3"/>
      <c r="C638" s="221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0" customHeight="1">
      <c r="A639" s="3"/>
      <c r="B639" s="3"/>
      <c r="C639" s="221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0" customHeight="1">
      <c r="A640" s="3"/>
      <c r="B640" s="3"/>
      <c r="C640" s="221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0" customHeight="1">
      <c r="A641" s="3"/>
      <c r="B641" s="3"/>
      <c r="C641" s="221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0" customHeight="1">
      <c r="A642" s="3"/>
      <c r="B642" s="3"/>
      <c r="C642" s="221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0" customHeight="1">
      <c r="A643" s="3"/>
      <c r="B643" s="3"/>
      <c r="C643" s="221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0" customHeight="1">
      <c r="A644" s="3"/>
      <c r="B644" s="3"/>
      <c r="C644" s="221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0" customHeight="1">
      <c r="A645" s="3"/>
      <c r="B645" s="3"/>
      <c r="C645" s="221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0" customHeight="1">
      <c r="A646" s="3"/>
      <c r="B646" s="3"/>
      <c r="C646" s="221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0" customHeight="1">
      <c r="A647" s="3"/>
      <c r="B647" s="3"/>
      <c r="C647" s="221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0" customHeight="1">
      <c r="A648" s="3"/>
      <c r="B648" s="3"/>
      <c r="C648" s="221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0" customHeight="1">
      <c r="A649" s="3"/>
      <c r="B649" s="3"/>
      <c r="C649" s="221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0" customHeight="1">
      <c r="A650" s="3"/>
      <c r="B650" s="3"/>
      <c r="C650" s="221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0" customHeight="1">
      <c r="A651" s="3"/>
      <c r="B651" s="3"/>
      <c r="C651" s="221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0" customHeight="1">
      <c r="A652" s="3"/>
      <c r="B652" s="3"/>
      <c r="C652" s="221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0" customHeight="1">
      <c r="A653" s="3"/>
      <c r="B653" s="3"/>
      <c r="C653" s="221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0" customHeight="1">
      <c r="A654" s="3"/>
      <c r="B654" s="3"/>
      <c r="C654" s="221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0" customHeight="1">
      <c r="A655" s="3"/>
      <c r="B655" s="3"/>
      <c r="C655" s="221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0" customHeight="1">
      <c r="A656" s="3"/>
      <c r="B656" s="3"/>
      <c r="C656" s="221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0" customHeight="1">
      <c r="A657" s="3"/>
      <c r="B657" s="3"/>
      <c r="C657" s="221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0" customHeight="1">
      <c r="A658" s="3"/>
      <c r="B658" s="3"/>
      <c r="C658" s="221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0" customHeight="1">
      <c r="A659" s="3"/>
      <c r="B659" s="3"/>
      <c r="C659" s="221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0" customHeight="1">
      <c r="A660" s="3"/>
      <c r="B660" s="3"/>
      <c r="C660" s="221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0" customHeight="1">
      <c r="A661" s="3"/>
      <c r="B661" s="3"/>
      <c r="C661" s="221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0" customHeight="1">
      <c r="A662" s="3"/>
      <c r="B662" s="3"/>
      <c r="C662" s="221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0" customHeight="1">
      <c r="A663" s="3"/>
      <c r="B663" s="3"/>
      <c r="C663" s="221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0" customHeight="1">
      <c r="A664" s="3"/>
      <c r="B664" s="3"/>
      <c r="C664" s="221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0" customHeight="1">
      <c r="A665" s="3"/>
      <c r="B665" s="3"/>
      <c r="C665" s="221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0" customHeight="1">
      <c r="A666" s="3"/>
      <c r="B666" s="3"/>
      <c r="C666" s="221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0" customHeight="1">
      <c r="A667" s="3"/>
      <c r="B667" s="3"/>
      <c r="C667" s="221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0" customHeight="1">
      <c r="A668" s="3"/>
      <c r="B668" s="3"/>
      <c r="C668" s="221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0" customHeight="1">
      <c r="A669" s="3"/>
      <c r="B669" s="3"/>
      <c r="C669" s="221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0" customHeight="1">
      <c r="A670" s="3"/>
      <c r="B670" s="3"/>
      <c r="C670" s="221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0" customHeight="1">
      <c r="A671" s="3"/>
      <c r="B671" s="3"/>
      <c r="C671" s="221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0" customHeight="1">
      <c r="A672" s="3"/>
      <c r="B672" s="3"/>
      <c r="C672" s="221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0" customHeight="1">
      <c r="A673" s="3"/>
      <c r="B673" s="3"/>
      <c r="C673" s="221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0" customHeight="1">
      <c r="A674" s="3"/>
      <c r="B674" s="3"/>
      <c r="C674" s="221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0" customHeight="1">
      <c r="A675" s="3"/>
      <c r="B675" s="3"/>
      <c r="C675" s="221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0" customHeight="1">
      <c r="A676" s="3"/>
      <c r="B676" s="3"/>
      <c r="C676" s="221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0" customHeight="1">
      <c r="A677" s="3"/>
      <c r="B677" s="3"/>
      <c r="C677" s="221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0" customHeight="1">
      <c r="A678" s="3"/>
      <c r="B678" s="3"/>
      <c r="C678" s="221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0" customHeight="1">
      <c r="A679" s="3"/>
      <c r="B679" s="3"/>
      <c r="C679" s="221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0" customHeight="1">
      <c r="A680" s="3"/>
      <c r="B680" s="3"/>
      <c r="C680" s="221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0" customHeight="1">
      <c r="A681" s="3"/>
      <c r="B681" s="3"/>
      <c r="C681" s="221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0" customHeight="1">
      <c r="A682" s="3"/>
      <c r="B682" s="3"/>
      <c r="C682" s="221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0" customHeight="1">
      <c r="A683" s="3"/>
      <c r="B683" s="3"/>
      <c r="C683" s="221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0" customHeight="1">
      <c r="A684" s="3"/>
      <c r="B684" s="3"/>
      <c r="C684" s="221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0" customHeight="1">
      <c r="A685" s="3"/>
      <c r="B685" s="3"/>
      <c r="C685" s="221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0" customHeight="1">
      <c r="A686" s="3"/>
      <c r="B686" s="3"/>
      <c r="C686" s="221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0" customHeight="1">
      <c r="A687" s="3"/>
      <c r="B687" s="3"/>
      <c r="C687" s="221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0" customHeight="1">
      <c r="A688" s="3"/>
      <c r="B688" s="3"/>
      <c r="C688" s="221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0" customHeight="1">
      <c r="A689" s="3"/>
      <c r="B689" s="3"/>
      <c r="C689" s="221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0" customHeight="1">
      <c r="A690" s="3"/>
      <c r="B690" s="3"/>
      <c r="C690" s="221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0" customHeight="1">
      <c r="A691" s="3"/>
      <c r="B691" s="3"/>
      <c r="C691" s="221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0" customHeight="1">
      <c r="A692" s="3"/>
      <c r="B692" s="3"/>
      <c r="C692" s="221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0" customHeight="1">
      <c r="A693" s="3"/>
      <c r="B693" s="3"/>
      <c r="C693" s="221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0" customHeight="1">
      <c r="A694" s="3"/>
      <c r="B694" s="3"/>
      <c r="C694" s="221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0" customHeight="1">
      <c r="A695" s="3"/>
      <c r="B695" s="3"/>
      <c r="C695" s="221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0" customHeight="1">
      <c r="A696" s="3"/>
      <c r="B696" s="3"/>
      <c r="C696" s="221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0" customHeight="1">
      <c r="A697" s="3"/>
      <c r="B697" s="3"/>
      <c r="C697" s="221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0" customHeight="1">
      <c r="A698" s="3"/>
      <c r="B698" s="3"/>
      <c r="C698" s="221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0" customHeight="1">
      <c r="A699" s="3"/>
      <c r="B699" s="3"/>
      <c r="C699" s="221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0" customHeight="1">
      <c r="A700" s="3"/>
      <c r="B700" s="3"/>
      <c r="C700" s="221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0" customHeight="1">
      <c r="A701" s="3"/>
      <c r="B701" s="3"/>
      <c r="C701" s="221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0" customHeight="1">
      <c r="A702" s="3"/>
      <c r="B702" s="3"/>
      <c r="C702" s="221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0" customHeight="1">
      <c r="A703" s="3"/>
      <c r="B703" s="3"/>
      <c r="C703" s="221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0" customHeight="1">
      <c r="A704" s="3"/>
      <c r="B704" s="3"/>
      <c r="C704" s="221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0" customHeight="1">
      <c r="A705" s="3"/>
      <c r="B705" s="3"/>
      <c r="C705" s="221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0" customHeight="1">
      <c r="A706" s="3"/>
      <c r="B706" s="3"/>
      <c r="C706" s="221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0" customHeight="1">
      <c r="A707" s="3"/>
      <c r="B707" s="3"/>
      <c r="C707" s="221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0" customHeight="1">
      <c r="A708" s="3"/>
      <c r="B708" s="3"/>
      <c r="C708" s="221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0" customHeight="1">
      <c r="A709" s="3"/>
      <c r="B709" s="3"/>
      <c r="C709" s="221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0" customHeight="1">
      <c r="A710" s="3"/>
      <c r="B710" s="3"/>
      <c r="C710" s="221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0" customHeight="1">
      <c r="A711" s="3"/>
      <c r="B711" s="3"/>
      <c r="C711" s="221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0" customHeight="1">
      <c r="A712" s="3"/>
      <c r="B712" s="3"/>
      <c r="C712" s="221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0" customHeight="1">
      <c r="A713" s="3"/>
      <c r="B713" s="3"/>
      <c r="C713" s="221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0" customHeight="1">
      <c r="A714" s="3"/>
      <c r="B714" s="3"/>
      <c r="C714" s="221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0" customHeight="1">
      <c r="A715" s="3"/>
      <c r="B715" s="3"/>
      <c r="C715" s="221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0" customHeight="1">
      <c r="A716" s="3"/>
      <c r="B716" s="3"/>
      <c r="C716" s="221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0" customHeight="1">
      <c r="A717" s="3"/>
      <c r="B717" s="3"/>
      <c r="C717" s="221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0" customHeight="1">
      <c r="A718" s="3"/>
      <c r="B718" s="3"/>
      <c r="C718" s="221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0" customHeight="1">
      <c r="A719" s="3"/>
      <c r="B719" s="3"/>
      <c r="C719" s="221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0" customHeight="1">
      <c r="A720" s="3"/>
      <c r="B720" s="3"/>
      <c r="C720" s="221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0" customHeight="1">
      <c r="A721" s="3"/>
      <c r="B721" s="3"/>
      <c r="C721" s="221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0" customHeight="1">
      <c r="A722" s="3"/>
      <c r="B722" s="3"/>
      <c r="C722" s="221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0" customHeight="1">
      <c r="A723" s="3"/>
      <c r="B723" s="3"/>
      <c r="C723" s="221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0" customHeight="1">
      <c r="A724" s="3"/>
      <c r="B724" s="3"/>
      <c r="C724" s="221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0" customHeight="1">
      <c r="A725" s="3"/>
      <c r="B725" s="3"/>
      <c r="C725" s="221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0" customHeight="1">
      <c r="A726" s="3"/>
      <c r="B726" s="3"/>
      <c r="C726" s="221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0" customHeight="1">
      <c r="A727" s="3"/>
      <c r="B727" s="3"/>
      <c r="C727" s="221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0" customHeight="1">
      <c r="A728" s="3"/>
      <c r="B728" s="3"/>
      <c r="C728" s="221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0" customHeight="1">
      <c r="A729" s="3"/>
      <c r="B729" s="3"/>
      <c r="C729" s="221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0" customHeight="1">
      <c r="A730" s="3"/>
      <c r="B730" s="3"/>
      <c r="C730" s="221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0" customHeight="1">
      <c r="A731" s="3"/>
      <c r="B731" s="3"/>
      <c r="C731" s="221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0" customHeight="1">
      <c r="A732" s="3"/>
      <c r="B732" s="3"/>
      <c r="C732" s="221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0" customHeight="1">
      <c r="A733" s="3"/>
      <c r="B733" s="3"/>
      <c r="C733" s="221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0" customHeight="1">
      <c r="A734" s="3"/>
      <c r="B734" s="3"/>
      <c r="C734" s="221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0" customHeight="1">
      <c r="A735" s="3"/>
      <c r="B735" s="3"/>
      <c r="C735" s="221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0" customHeight="1">
      <c r="A736" s="3"/>
      <c r="B736" s="3"/>
      <c r="C736" s="221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0" customHeight="1">
      <c r="A737" s="3"/>
      <c r="B737" s="3"/>
      <c r="C737" s="221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0" customHeight="1">
      <c r="A738" s="3"/>
      <c r="B738" s="3"/>
      <c r="C738" s="221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0" customHeight="1">
      <c r="A739" s="3"/>
      <c r="B739" s="3"/>
      <c r="C739" s="221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0" customHeight="1">
      <c r="A740" s="3"/>
      <c r="B740" s="3"/>
      <c r="C740" s="221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0" customHeight="1">
      <c r="A741" s="3"/>
      <c r="B741" s="3"/>
      <c r="C741" s="221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0" customHeight="1">
      <c r="A742" s="3"/>
      <c r="B742" s="3"/>
      <c r="C742" s="221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0" customHeight="1">
      <c r="A743" s="3"/>
      <c r="B743" s="3"/>
      <c r="C743" s="221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0" customHeight="1">
      <c r="A744" s="3"/>
      <c r="B744" s="3"/>
      <c r="C744" s="221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0" customHeight="1">
      <c r="A745" s="3"/>
      <c r="B745" s="3"/>
      <c r="C745" s="221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0" customHeight="1">
      <c r="A746" s="3"/>
      <c r="B746" s="3"/>
      <c r="C746" s="221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0" customHeight="1">
      <c r="A747" s="3"/>
      <c r="B747" s="3"/>
      <c r="C747" s="221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0" customHeight="1">
      <c r="A748" s="3"/>
      <c r="B748" s="3"/>
      <c r="C748" s="221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0" customHeight="1">
      <c r="A749" s="3"/>
      <c r="B749" s="3"/>
      <c r="C749" s="221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0" customHeight="1">
      <c r="A750" s="3"/>
      <c r="B750" s="3"/>
      <c r="C750" s="221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0" customHeight="1">
      <c r="A751" s="3"/>
      <c r="B751" s="3"/>
      <c r="C751" s="221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0" customHeight="1">
      <c r="A752" s="3"/>
      <c r="B752" s="3"/>
      <c r="C752" s="221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0" customHeight="1">
      <c r="A753" s="3"/>
      <c r="B753" s="3"/>
      <c r="C753" s="221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0" customHeight="1">
      <c r="A754" s="3"/>
      <c r="B754" s="3"/>
      <c r="C754" s="221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0" customHeight="1">
      <c r="A755" s="3"/>
      <c r="B755" s="3"/>
      <c r="C755" s="221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0" customHeight="1">
      <c r="A756" s="3"/>
      <c r="B756" s="3"/>
      <c r="C756" s="221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0" customHeight="1">
      <c r="A757" s="3"/>
      <c r="B757" s="3"/>
      <c r="C757" s="221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0" customHeight="1">
      <c r="A758" s="3"/>
      <c r="B758" s="3"/>
      <c r="C758" s="221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0" customHeight="1">
      <c r="A759" s="3"/>
      <c r="B759" s="3"/>
      <c r="C759" s="221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0" customHeight="1">
      <c r="A760" s="3"/>
      <c r="B760" s="3"/>
      <c r="C760" s="221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0" customHeight="1">
      <c r="A761" s="3"/>
      <c r="B761" s="3"/>
      <c r="C761" s="221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0" customHeight="1">
      <c r="A762" s="3"/>
      <c r="B762" s="3"/>
      <c r="C762" s="221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0" customHeight="1">
      <c r="A763" s="3"/>
      <c r="B763" s="3"/>
      <c r="C763" s="221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0" customHeight="1">
      <c r="A764" s="3"/>
      <c r="B764" s="3"/>
      <c r="C764" s="221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0" customHeight="1">
      <c r="A765" s="3"/>
      <c r="B765" s="3"/>
      <c r="C765" s="221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0" customHeight="1">
      <c r="A766" s="3"/>
      <c r="B766" s="3"/>
      <c r="C766" s="221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0" customHeight="1">
      <c r="A767" s="3"/>
      <c r="B767" s="3"/>
      <c r="C767" s="221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0" customHeight="1">
      <c r="A768" s="3"/>
      <c r="B768" s="3"/>
      <c r="C768" s="221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0" customHeight="1">
      <c r="A769" s="3"/>
      <c r="B769" s="3"/>
      <c r="C769" s="221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0" customHeight="1">
      <c r="A770" s="3"/>
      <c r="B770" s="3"/>
      <c r="C770" s="221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0" customHeight="1">
      <c r="A771" s="3"/>
      <c r="B771" s="3"/>
      <c r="C771" s="221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0" customHeight="1">
      <c r="A772" s="3"/>
      <c r="B772" s="3"/>
      <c r="C772" s="221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0" customHeight="1">
      <c r="A773" s="3"/>
      <c r="B773" s="3"/>
      <c r="C773" s="221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0" customHeight="1">
      <c r="A774" s="3"/>
      <c r="B774" s="3"/>
      <c r="C774" s="221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0" customHeight="1">
      <c r="A775" s="3"/>
      <c r="B775" s="3"/>
      <c r="C775" s="221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0" customHeight="1">
      <c r="A776" s="3"/>
      <c r="B776" s="3"/>
      <c r="C776" s="221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0" customHeight="1">
      <c r="A777" s="3"/>
      <c r="B777" s="3"/>
      <c r="C777" s="221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0" customHeight="1">
      <c r="A778" s="3"/>
      <c r="B778" s="3"/>
      <c r="C778" s="221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0" customHeight="1">
      <c r="A779" s="3"/>
      <c r="B779" s="3"/>
      <c r="C779" s="221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0" customHeight="1">
      <c r="A780" s="3"/>
      <c r="B780" s="3"/>
      <c r="C780" s="221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0" customHeight="1">
      <c r="A781" s="3"/>
      <c r="B781" s="3"/>
      <c r="C781" s="221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0" customHeight="1">
      <c r="A782" s="3"/>
      <c r="B782" s="3"/>
      <c r="C782" s="221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0" customHeight="1">
      <c r="A783" s="3"/>
      <c r="B783" s="3"/>
      <c r="C783" s="221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0" customHeight="1">
      <c r="A784" s="3"/>
      <c r="B784" s="3"/>
      <c r="C784" s="221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0" customHeight="1">
      <c r="A785" s="3"/>
      <c r="B785" s="3"/>
      <c r="C785" s="221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0" customHeight="1">
      <c r="A786" s="3"/>
      <c r="B786" s="3"/>
      <c r="C786" s="221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0" customHeight="1">
      <c r="A787" s="3"/>
      <c r="B787" s="3"/>
      <c r="C787" s="221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0" customHeight="1">
      <c r="A788" s="3"/>
      <c r="B788" s="3"/>
      <c r="C788" s="221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0" customHeight="1">
      <c r="A789" s="3"/>
      <c r="B789" s="3"/>
      <c r="C789" s="221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0" customHeight="1">
      <c r="A790" s="3"/>
      <c r="B790" s="3"/>
      <c r="C790" s="221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0" customHeight="1">
      <c r="A791" s="3"/>
      <c r="B791" s="3"/>
      <c r="C791" s="221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0" customHeight="1">
      <c r="A792" s="3"/>
      <c r="B792" s="3"/>
      <c r="C792" s="221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0" customHeight="1">
      <c r="A793" s="3"/>
      <c r="B793" s="3"/>
      <c r="C793" s="221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0" customHeight="1">
      <c r="A794" s="3"/>
      <c r="B794" s="3"/>
      <c r="C794" s="221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0" customHeight="1">
      <c r="A795" s="3"/>
      <c r="B795" s="3"/>
      <c r="C795" s="221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0" customHeight="1">
      <c r="A796" s="3"/>
      <c r="B796" s="3"/>
      <c r="C796" s="221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0" customHeight="1">
      <c r="A797" s="3"/>
      <c r="B797" s="3"/>
      <c r="C797" s="221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0" customHeight="1">
      <c r="A798" s="3"/>
      <c r="B798" s="3"/>
      <c r="C798" s="221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0" customHeight="1">
      <c r="A799" s="3"/>
      <c r="B799" s="3"/>
      <c r="C799" s="221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0" customHeight="1">
      <c r="A800" s="3"/>
      <c r="B800" s="3"/>
      <c r="C800" s="221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0" customHeight="1">
      <c r="A801" s="3"/>
      <c r="B801" s="3"/>
      <c r="C801" s="221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0" customHeight="1">
      <c r="A802" s="3"/>
      <c r="B802" s="3"/>
      <c r="C802" s="221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0" customHeight="1">
      <c r="A803" s="3"/>
      <c r="B803" s="3"/>
      <c r="C803" s="221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0" customHeight="1">
      <c r="A804" s="3"/>
      <c r="B804" s="3"/>
      <c r="C804" s="221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0" customHeight="1">
      <c r="A805" s="3"/>
      <c r="B805" s="3"/>
      <c r="C805" s="221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0" customHeight="1">
      <c r="A806" s="3"/>
      <c r="B806" s="3"/>
      <c r="C806" s="221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0" customHeight="1">
      <c r="A807" s="3"/>
      <c r="B807" s="3"/>
      <c r="C807" s="221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0" customHeight="1">
      <c r="A808" s="3"/>
      <c r="B808" s="3"/>
      <c r="C808" s="221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0" customHeight="1">
      <c r="A809" s="3"/>
      <c r="B809" s="3"/>
      <c r="C809" s="221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0" customHeight="1">
      <c r="A810" s="3"/>
      <c r="B810" s="3"/>
      <c r="C810" s="221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0" customHeight="1">
      <c r="A811" s="3"/>
      <c r="B811" s="3"/>
      <c r="C811" s="221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0" customHeight="1">
      <c r="A812" s="3"/>
      <c r="B812" s="3"/>
      <c r="C812" s="221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0" customHeight="1">
      <c r="A813" s="3"/>
      <c r="B813" s="3"/>
      <c r="C813" s="221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0" customHeight="1">
      <c r="A814" s="3"/>
      <c r="B814" s="3"/>
      <c r="C814" s="221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0" customHeight="1">
      <c r="A815" s="3"/>
      <c r="B815" s="3"/>
      <c r="C815" s="221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0" customHeight="1">
      <c r="A816" s="3"/>
      <c r="B816" s="3"/>
      <c r="C816" s="221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0" customHeight="1">
      <c r="A817" s="3"/>
      <c r="B817" s="3"/>
      <c r="C817" s="221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0" customHeight="1">
      <c r="A818" s="3"/>
      <c r="B818" s="3"/>
      <c r="C818" s="221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0" customHeight="1">
      <c r="A819" s="3"/>
      <c r="B819" s="3"/>
      <c r="C819" s="221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0" customHeight="1">
      <c r="A820" s="3"/>
      <c r="B820" s="3"/>
      <c r="C820" s="221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0" customHeight="1">
      <c r="A821" s="3"/>
      <c r="B821" s="3"/>
      <c r="C821" s="221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0" customHeight="1">
      <c r="A822" s="3"/>
      <c r="B822" s="3"/>
      <c r="C822" s="221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0" customHeight="1">
      <c r="A823" s="3"/>
      <c r="B823" s="3"/>
      <c r="C823" s="221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0" customHeight="1">
      <c r="A824" s="3"/>
      <c r="B824" s="3"/>
      <c r="C824" s="221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0" customHeight="1">
      <c r="A825" s="3"/>
      <c r="B825" s="3"/>
      <c r="C825" s="221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0" customHeight="1">
      <c r="A826" s="3"/>
      <c r="B826" s="3"/>
      <c r="C826" s="221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0" customHeight="1">
      <c r="A827" s="3"/>
      <c r="B827" s="3"/>
      <c r="C827" s="221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0" customHeight="1">
      <c r="A828" s="3"/>
      <c r="B828" s="3"/>
      <c r="C828" s="221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0" customHeight="1">
      <c r="A829" s="3"/>
      <c r="B829" s="3"/>
      <c r="C829" s="221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0" customHeight="1">
      <c r="A830" s="3"/>
      <c r="B830" s="3"/>
      <c r="C830" s="221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0" customHeight="1">
      <c r="A831" s="3"/>
      <c r="B831" s="3"/>
      <c r="C831" s="221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0" customHeight="1">
      <c r="A832" s="3"/>
      <c r="B832" s="3"/>
      <c r="C832" s="221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0" customHeight="1">
      <c r="A833" s="3"/>
      <c r="B833" s="3"/>
      <c r="C833" s="221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0" customHeight="1">
      <c r="A834" s="3"/>
      <c r="B834" s="3"/>
      <c r="C834" s="221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0" customHeight="1">
      <c r="A835" s="3"/>
      <c r="B835" s="3"/>
      <c r="C835" s="221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0" customHeight="1">
      <c r="A836" s="3"/>
      <c r="B836" s="3"/>
      <c r="C836" s="221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0" customHeight="1">
      <c r="A837" s="3"/>
      <c r="B837" s="3"/>
      <c r="C837" s="221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0" customHeight="1">
      <c r="A838" s="3"/>
      <c r="B838" s="3"/>
      <c r="C838" s="221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0" customHeight="1">
      <c r="A839" s="3"/>
      <c r="B839" s="3"/>
      <c r="C839" s="221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0" customHeight="1">
      <c r="A840" s="3"/>
      <c r="B840" s="3"/>
      <c r="C840" s="221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0" customHeight="1">
      <c r="A841" s="3"/>
      <c r="B841" s="3"/>
      <c r="C841" s="221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0" customHeight="1">
      <c r="A842" s="3"/>
      <c r="B842" s="3"/>
      <c r="C842" s="221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0" customHeight="1">
      <c r="A843" s="3"/>
      <c r="B843" s="3"/>
      <c r="C843" s="221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0" customHeight="1">
      <c r="A844" s="3"/>
      <c r="B844" s="3"/>
      <c r="C844" s="221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0" customHeight="1">
      <c r="A845" s="3"/>
      <c r="B845" s="3"/>
      <c r="C845" s="221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0" customHeight="1">
      <c r="A846" s="3"/>
      <c r="B846" s="3"/>
      <c r="C846" s="221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0" customHeight="1">
      <c r="A847" s="3"/>
      <c r="B847" s="3"/>
      <c r="C847" s="221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0" customHeight="1">
      <c r="A848" s="3"/>
      <c r="B848" s="3"/>
      <c r="C848" s="221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0" customHeight="1">
      <c r="A849" s="3"/>
      <c r="B849" s="3"/>
      <c r="C849" s="221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0" customHeight="1">
      <c r="A850" s="3"/>
      <c r="B850" s="3"/>
      <c r="C850" s="221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0" customHeight="1">
      <c r="A851" s="3"/>
      <c r="B851" s="3"/>
      <c r="C851" s="221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0" customHeight="1">
      <c r="A852" s="3"/>
      <c r="B852" s="3"/>
      <c r="C852" s="221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0" customHeight="1">
      <c r="A853" s="3"/>
      <c r="B853" s="3"/>
      <c r="C853" s="221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0" customHeight="1">
      <c r="A854" s="3"/>
      <c r="B854" s="3"/>
      <c r="C854" s="221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0" customHeight="1">
      <c r="A855" s="3"/>
      <c r="B855" s="3"/>
      <c r="C855" s="221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0" customHeight="1">
      <c r="A856" s="3"/>
      <c r="B856" s="3"/>
      <c r="C856" s="221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0" customHeight="1">
      <c r="A857" s="3"/>
      <c r="B857" s="3"/>
      <c r="C857" s="221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0" customHeight="1">
      <c r="A858" s="3"/>
      <c r="B858" s="3"/>
      <c r="C858" s="221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0" customHeight="1">
      <c r="A859" s="3"/>
      <c r="B859" s="3"/>
      <c r="C859" s="221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0" customHeight="1">
      <c r="A860" s="3"/>
      <c r="B860" s="3"/>
      <c r="C860" s="221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0" customHeight="1">
      <c r="A861" s="3"/>
      <c r="B861" s="3"/>
      <c r="C861" s="221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0" customHeight="1">
      <c r="A862" s="3"/>
      <c r="B862" s="3"/>
      <c r="C862" s="221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0" customHeight="1">
      <c r="A863" s="3"/>
      <c r="B863" s="3"/>
      <c r="C863" s="221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0" customHeight="1">
      <c r="A864" s="3"/>
      <c r="B864" s="3"/>
      <c r="C864" s="221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0" customHeight="1">
      <c r="A865" s="3"/>
      <c r="B865" s="3"/>
      <c r="C865" s="221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0" customHeight="1">
      <c r="A866" s="3"/>
      <c r="B866" s="3"/>
      <c r="C866" s="221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0" customHeight="1">
      <c r="A867" s="3"/>
      <c r="B867" s="3"/>
      <c r="C867" s="221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0" customHeight="1">
      <c r="A868" s="3"/>
      <c r="B868" s="3"/>
      <c r="C868" s="221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0" customHeight="1">
      <c r="A869" s="3"/>
      <c r="B869" s="3"/>
      <c r="C869" s="221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0" customHeight="1">
      <c r="A870" s="3"/>
      <c r="B870" s="3"/>
      <c r="C870" s="221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0" customHeight="1">
      <c r="A871" s="3"/>
      <c r="B871" s="3"/>
      <c r="C871" s="221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0" customHeight="1">
      <c r="A872" s="3"/>
      <c r="B872" s="3"/>
      <c r="C872" s="221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0" customHeight="1">
      <c r="A873" s="3"/>
      <c r="B873" s="3"/>
      <c r="C873" s="221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0" customHeight="1">
      <c r="A874" s="3"/>
      <c r="B874" s="3"/>
      <c r="C874" s="221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0" customHeight="1">
      <c r="A875" s="3"/>
      <c r="B875" s="3"/>
      <c r="C875" s="221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0" customHeight="1">
      <c r="A876" s="3"/>
      <c r="B876" s="3"/>
      <c r="C876" s="221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0" customHeight="1">
      <c r="A877" s="3"/>
      <c r="B877" s="3"/>
      <c r="C877" s="221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0" customHeight="1">
      <c r="A878" s="3"/>
      <c r="B878" s="3"/>
      <c r="C878" s="221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0" customHeight="1">
      <c r="A879" s="3"/>
      <c r="B879" s="3"/>
      <c r="C879" s="221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0" customHeight="1">
      <c r="A880" s="3"/>
      <c r="B880" s="3"/>
      <c r="C880" s="221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0" customHeight="1">
      <c r="A881" s="3"/>
      <c r="B881" s="3"/>
      <c r="C881" s="221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0" customHeight="1">
      <c r="A882" s="3"/>
      <c r="B882" s="3"/>
      <c r="C882" s="221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0" customHeight="1">
      <c r="A883" s="3"/>
      <c r="B883" s="3"/>
      <c r="C883" s="221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0" customHeight="1">
      <c r="A884" s="3"/>
      <c r="B884" s="3"/>
      <c r="C884" s="221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0" customHeight="1">
      <c r="A885" s="3"/>
      <c r="B885" s="3"/>
      <c r="C885" s="221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0" customHeight="1">
      <c r="A886" s="3"/>
      <c r="B886" s="3"/>
      <c r="C886" s="221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0" customHeight="1">
      <c r="A887" s="3"/>
      <c r="B887" s="3"/>
      <c r="C887" s="221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0" customHeight="1">
      <c r="A888" s="3"/>
      <c r="B888" s="3"/>
      <c r="C888" s="221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0" customHeight="1">
      <c r="A889" s="3"/>
      <c r="B889" s="3"/>
      <c r="C889" s="221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0" customHeight="1">
      <c r="A890" s="3"/>
      <c r="B890" s="3"/>
      <c r="C890" s="221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0" customHeight="1">
      <c r="A891" s="3"/>
      <c r="B891" s="3"/>
      <c r="C891" s="221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0" customHeight="1">
      <c r="A892" s="3"/>
      <c r="B892" s="3"/>
      <c r="C892" s="221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0" customHeight="1">
      <c r="A893" s="3"/>
      <c r="B893" s="3"/>
      <c r="C893" s="221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0" customHeight="1">
      <c r="A894" s="3"/>
      <c r="B894" s="3"/>
      <c r="C894" s="221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0" customHeight="1">
      <c r="A895" s="3"/>
      <c r="B895" s="3"/>
      <c r="C895" s="221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0" customHeight="1">
      <c r="A896" s="3"/>
      <c r="B896" s="3"/>
      <c r="C896" s="221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0" customHeight="1">
      <c r="A897" s="3"/>
      <c r="B897" s="3"/>
      <c r="C897" s="221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0" customHeight="1">
      <c r="A898" s="3"/>
      <c r="B898" s="3"/>
      <c r="C898" s="221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0" customHeight="1">
      <c r="A899" s="3"/>
      <c r="B899" s="3"/>
      <c r="C899" s="221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0" customHeight="1">
      <c r="A900" s="3"/>
      <c r="B900" s="3"/>
      <c r="C900" s="221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0" customHeight="1">
      <c r="A901" s="3"/>
      <c r="B901" s="3"/>
      <c r="C901" s="221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0" customHeight="1">
      <c r="A902" s="3"/>
      <c r="B902" s="3"/>
      <c r="C902" s="221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0" customHeight="1">
      <c r="A903" s="3"/>
      <c r="B903" s="3"/>
      <c r="C903" s="221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0" customHeight="1">
      <c r="A904" s="3"/>
      <c r="B904" s="3"/>
      <c r="C904" s="221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0" customHeight="1">
      <c r="A905" s="3"/>
      <c r="B905" s="3"/>
      <c r="C905" s="221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0" customHeight="1">
      <c r="A906" s="3"/>
      <c r="B906" s="3"/>
      <c r="C906" s="221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0" customHeight="1">
      <c r="A907" s="3"/>
      <c r="B907" s="3"/>
      <c r="C907" s="221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0" customHeight="1">
      <c r="A908" s="3"/>
      <c r="B908" s="3"/>
      <c r="C908" s="221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0" customHeight="1">
      <c r="A909" s="3"/>
      <c r="B909" s="3"/>
      <c r="C909" s="221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0" customHeight="1">
      <c r="A910" s="3"/>
      <c r="B910" s="3"/>
      <c r="C910" s="221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0" customHeight="1">
      <c r="A911" s="3"/>
      <c r="B911" s="3"/>
      <c r="C911" s="221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0" customHeight="1">
      <c r="A912" s="3"/>
      <c r="B912" s="3"/>
      <c r="C912" s="221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0" customHeight="1">
      <c r="A913" s="3"/>
      <c r="B913" s="3"/>
      <c r="C913" s="221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0" customHeight="1">
      <c r="A914" s="3"/>
      <c r="B914" s="3"/>
      <c r="C914" s="221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0" customHeight="1">
      <c r="A915" s="3"/>
      <c r="B915" s="3"/>
      <c r="C915" s="221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0" customHeight="1">
      <c r="A916" s="3"/>
      <c r="B916" s="3"/>
      <c r="C916" s="221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0" customHeight="1">
      <c r="A917" s="3"/>
      <c r="B917" s="3"/>
      <c r="C917" s="221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0" customHeight="1">
      <c r="A918" s="3"/>
      <c r="B918" s="3"/>
      <c r="C918" s="221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0" customHeight="1">
      <c r="A919" s="3"/>
      <c r="B919" s="3"/>
      <c r="C919" s="221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0" customHeight="1">
      <c r="A920" s="3"/>
      <c r="B920" s="3"/>
      <c r="C920" s="221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0" customHeight="1">
      <c r="A921" s="3"/>
      <c r="B921" s="3"/>
      <c r="C921" s="221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0" customHeight="1">
      <c r="A922" s="3"/>
      <c r="B922" s="3"/>
      <c r="C922" s="221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0" customHeight="1">
      <c r="A923" s="3"/>
      <c r="B923" s="3"/>
      <c r="C923" s="221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0" customHeight="1">
      <c r="A924" s="3"/>
      <c r="B924" s="3"/>
      <c r="C924" s="221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0" customHeight="1">
      <c r="A925" s="3"/>
      <c r="B925" s="3"/>
      <c r="C925" s="221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0" customHeight="1">
      <c r="A926" s="3"/>
      <c r="B926" s="3"/>
      <c r="C926" s="221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0" customHeight="1">
      <c r="A927" s="3"/>
      <c r="B927" s="3"/>
      <c r="C927" s="221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0" customHeight="1">
      <c r="A928" s="3"/>
      <c r="B928" s="3"/>
      <c r="C928" s="221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0" customHeight="1">
      <c r="A929" s="3"/>
      <c r="B929" s="3"/>
      <c r="C929" s="221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0" customHeight="1">
      <c r="A930" s="3"/>
      <c r="B930" s="3"/>
      <c r="C930" s="221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0" customHeight="1">
      <c r="A931" s="3"/>
      <c r="B931" s="3"/>
      <c r="C931" s="221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0" customHeight="1">
      <c r="A932" s="3"/>
      <c r="B932" s="3"/>
      <c r="C932" s="221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0" customHeight="1">
      <c r="A933" s="3"/>
      <c r="B933" s="3"/>
      <c r="C933" s="221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0" customHeight="1">
      <c r="A934" s="3"/>
      <c r="B934" s="3"/>
      <c r="C934" s="221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0" customHeight="1">
      <c r="A935" s="3"/>
      <c r="B935" s="3"/>
      <c r="C935" s="221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0" customHeight="1">
      <c r="A936" s="3"/>
      <c r="B936" s="3"/>
      <c r="C936" s="221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0" customHeight="1">
      <c r="A937" s="3"/>
      <c r="B937" s="3"/>
      <c r="C937" s="221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0" customHeight="1">
      <c r="A938" s="3"/>
      <c r="B938" s="3"/>
      <c r="C938" s="221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0" customHeight="1">
      <c r="A939" s="3"/>
      <c r="B939" s="3"/>
      <c r="C939" s="221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0" customHeight="1">
      <c r="A940" s="3"/>
      <c r="B940" s="3"/>
      <c r="C940" s="221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0" customHeight="1">
      <c r="A941" s="3"/>
      <c r="B941" s="3"/>
      <c r="C941" s="221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0" customHeight="1">
      <c r="A942" s="3"/>
      <c r="B942" s="3"/>
      <c r="C942" s="221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0" customHeight="1">
      <c r="A943" s="3"/>
      <c r="B943" s="3"/>
      <c r="C943" s="221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0" customHeight="1">
      <c r="A944" s="3"/>
      <c r="B944" s="3"/>
      <c r="C944" s="221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0" customHeight="1">
      <c r="A945" s="3"/>
      <c r="B945" s="3"/>
      <c r="C945" s="221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0" customHeight="1">
      <c r="A946" s="3"/>
      <c r="B946" s="3"/>
      <c r="C946" s="221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0" customHeight="1">
      <c r="A947" s="3"/>
      <c r="B947" s="3"/>
      <c r="C947" s="221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0" customHeight="1">
      <c r="A948" s="3"/>
      <c r="B948" s="3"/>
      <c r="C948" s="221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0" customHeight="1">
      <c r="A949" s="3"/>
      <c r="B949" s="3"/>
      <c r="C949" s="221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0" customHeight="1">
      <c r="A950" s="3"/>
      <c r="B950" s="3"/>
      <c r="C950" s="221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0" customHeight="1">
      <c r="A951" s="3"/>
      <c r="B951" s="3"/>
      <c r="C951" s="221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0" customHeight="1">
      <c r="A952" s="3"/>
      <c r="B952" s="3"/>
      <c r="C952" s="221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0" customHeight="1">
      <c r="A953" s="3"/>
      <c r="B953" s="3"/>
      <c r="C953" s="221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0" customHeight="1">
      <c r="A954" s="3"/>
      <c r="B954" s="3"/>
      <c r="C954" s="221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0" customHeight="1">
      <c r="A955" s="3"/>
      <c r="B955" s="3"/>
      <c r="C955" s="221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0" customHeight="1">
      <c r="A956" s="3"/>
      <c r="B956" s="3"/>
      <c r="C956" s="221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0" customHeight="1">
      <c r="A957" s="3"/>
      <c r="B957" s="3"/>
      <c r="C957" s="221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0" customHeight="1">
      <c r="A958" s="3"/>
      <c r="B958" s="3"/>
      <c r="C958" s="221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0" customHeight="1">
      <c r="A959" s="3"/>
      <c r="B959" s="3"/>
      <c r="C959" s="221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0" customHeight="1">
      <c r="A960" s="3"/>
      <c r="B960" s="3"/>
      <c r="C960" s="221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0" customHeight="1">
      <c r="A961" s="3"/>
      <c r="B961" s="3"/>
      <c r="C961" s="221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0" customHeight="1">
      <c r="A962" s="3"/>
      <c r="B962" s="3"/>
      <c r="C962" s="221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0" customHeight="1">
      <c r="A963" s="3"/>
      <c r="B963" s="3"/>
      <c r="C963" s="221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0" customHeight="1">
      <c r="A964" s="3"/>
      <c r="B964" s="3"/>
      <c r="C964" s="221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0" customHeight="1">
      <c r="A965" s="3"/>
      <c r="B965" s="3"/>
      <c r="C965" s="221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0" customHeight="1">
      <c r="A966" s="3"/>
      <c r="B966" s="3"/>
      <c r="C966" s="221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0" customHeight="1">
      <c r="A967" s="3"/>
      <c r="B967" s="3"/>
      <c r="C967" s="221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0" customHeight="1">
      <c r="A968" s="3"/>
      <c r="B968" s="3"/>
      <c r="C968" s="221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0" customHeight="1">
      <c r="A969" s="3"/>
      <c r="B969" s="3"/>
      <c r="C969" s="221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0" customHeight="1">
      <c r="A970" s="3"/>
      <c r="B970" s="3"/>
      <c r="C970" s="221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0" customHeight="1">
      <c r="A971" s="3"/>
      <c r="B971" s="3"/>
      <c r="C971" s="221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0" customHeight="1">
      <c r="A972" s="3"/>
      <c r="B972" s="3"/>
      <c r="C972" s="221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0" customHeight="1">
      <c r="A973" s="3"/>
      <c r="B973" s="3"/>
      <c r="C973" s="221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0" customHeight="1">
      <c r="A974" s="3"/>
      <c r="B974" s="3"/>
      <c r="C974" s="221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0" customHeight="1">
      <c r="A975" s="3"/>
      <c r="B975" s="3"/>
      <c r="C975" s="221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0" customHeight="1">
      <c r="A976" s="3"/>
      <c r="B976" s="3"/>
      <c r="C976" s="221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0" customHeight="1">
      <c r="A977" s="3"/>
      <c r="B977" s="3"/>
      <c r="C977" s="221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0" customHeight="1">
      <c r="A978" s="3"/>
      <c r="B978" s="3"/>
      <c r="C978" s="221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0" customHeight="1">
      <c r="A979" s="3"/>
      <c r="B979" s="3"/>
      <c r="C979" s="221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0" customHeight="1">
      <c r="A980" s="3"/>
      <c r="B980" s="3"/>
      <c r="C980" s="221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0" customHeight="1">
      <c r="A981" s="3"/>
      <c r="B981" s="3"/>
      <c r="C981" s="221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0" customHeight="1">
      <c r="A982" s="3"/>
      <c r="B982" s="3"/>
      <c r="C982" s="221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0" customHeight="1">
      <c r="A983" s="3"/>
      <c r="B983" s="3"/>
      <c r="C983" s="221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0" customHeight="1">
      <c r="A984" s="3"/>
      <c r="B984" s="3"/>
      <c r="C984" s="221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0" customHeight="1">
      <c r="A985" s="3"/>
      <c r="B985" s="3"/>
      <c r="C985" s="221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0" customHeight="1">
      <c r="A986" s="3"/>
      <c r="B986" s="3"/>
      <c r="C986" s="221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0" customHeight="1">
      <c r="A987" s="3"/>
      <c r="B987" s="3"/>
      <c r="C987" s="221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0" customHeight="1">
      <c r="A988" s="3"/>
      <c r="B988" s="3"/>
      <c r="C988" s="221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0" customHeight="1">
      <c r="A989" s="3"/>
      <c r="B989" s="3"/>
      <c r="C989" s="221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0" customHeight="1">
      <c r="A990" s="3"/>
      <c r="B990" s="3"/>
      <c r="C990" s="221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0" customHeight="1">
      <c r="A991" s="3"/>
      <c r="B991" s="3"/>
      <c r="C991" s="221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0" customHeight="1">
      <c r="A992" s="3"/>
      <c r="B992" s="3"/>
      <c r="C992" s="221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0" customHeight="1">
      <c r="A993" s="3"/>
      <c r="B993" s="3"/>
      <c r="C993" s="221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0" customHeight="1">
      <c r="A994" s="3"/>
      <c r="B994" s="3"/>
      <c r="C994" s="221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0" customHeight="1">
      <c r="A995" s="3"/>
      <c r="B995" s="3"/>
      <c r="C995" s="221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0" customHeight="1">
      <c r="A996" s="3"/>
      <c r="B996" s="3"/>
      <c r="C996" s="221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0" customHeight="1">
      <c r="A997" s="3"/>
      <c r="B997" s="3"/>
      <c r="C997" s="221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0" customHeight="1">
      <c r="A998" s="3"/>
      <c r="B998" s="3"/>
      <c r="C998" s="221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0" customHeight="1">
      <c r="A999" s="3"/>
      <c r="B999" s="3"/>
      <c r="C999" s="221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0" customHeight="1">
      <c r="A1000" s="3"/>
      <c r="B1000" s="3"/>
      <c r="C1000" s="221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12.5"/>
    <col customWidth="1" min="3" max="3" width="52.25"/>
    <col customWidth="1" min="4" max="4" width="17.75"/>
    <col customWidth="1" min="5" max="5" width="12.25"/>
    <col customWidth="1" min="6" max="6" width="29.88"/>
    <col customWidth="1" min="7" max="14" width="12.5"/>
  </cols>
  <sheetData>
    <row r="1" ht="15.75" customHeight="1">
      <c r="A1" s="222" t="s">
        <v>257</v>
      </c>
      <c r="B1" s="223" t="s">
        <v>56</v>
      </c>
      <c r="C1" s="224" t="s">
        <v>258</v>
      </c>
      <c r="D1" s="224" t="s">
        <v>259</v>
      </c>
      <c r="E1" s="28" t="s">
        <v>113</v>
      </c>
      <c r="F1" s="28" t="s">
        <v>260</v>
      </c>
      <c r="G1" s="28" t="s">
        <v>261</v>
      </c>
      <c r="H1" s="28" t="s">
        <v>262</v>
      </c>
      <c r="I1" s="28" t="s">
        <v>263</v>
      </c>
      <c r="J1" s="28" t="s">
        <v>264</v>
      </c>
    </row>
    <row r="2" ht="15.75" customHeight="1">
      <c r="A2" s="4"/>
      <c r="B2" s="21"/>
      <c r="C2" s="225"/>
      <c r="D2" s="226" t="str">
        <f t="shared" ref="D2:D12" si="1">E2*0.1</f>
        <v>#DIV/0!</v>
      </c>
      <c r="E2" s="48" t="str">
        <f t="shared" ref="E2:E12" si="2">B2/$B$15</f>
        <v>#DIV/0!</v>
      </c>
      <c r="F2" s="4"/>
      <c r="G2" s="4"/>
      <c r="H2" s="4"/>
      <c r="I2" s="4"/>
      <c r="J2" s="4"/>
    </row>
    <row r="3" ht="15.75" customHeight="1">
      <c r="A3" s="227"/>
      <c r="B3" s="228"/>
      <c r="C3" s="225"/>
      <c r="D3" s="226" t="str">
        <f t="shared" si="1"/>
        <v>#DIV/0!</v>
      </c>
      <c r="E3" s="48" t="str">
        <f t="shared" si="2"/>
        <v>#DIV/0!</v>
      </c>
      <c r="F3" s="4"/>
      <c r="G3" s="4"/>
      <c r="H3" s="4"/>
      <c r="I3" s="4"/>
      <c r="J3" s="4"/>
      <c r="K3" s="229"/>
      <c r="L3" s="229"/>
      <c r="M3" s="229"/>
      <c r="N3" s="229"/>
    </row>
    <row r="4" ht="15.75" customHeight="1">
      <c r="A4" s="227"/>
      <c r="B4" s="228"/>
      <c r="C4" s="225"/>
      <c r="D4" s="226" t="str">
        <f t="shared" si="1"/>
        <v>#DIV/0!</v>
      </c>
      <c r="E4" s="48" t="str">
        <f t="shared" si="2"/>
        <v>#DIV/0!</v>
      </c>
      <c r="F4" s="4"/>
      <c r="G4" s="4"/>
      <c r="H4" s="4"/>
      <c r="I4" s="4"/>
      <c r="J4" s="4"/>
      <c r="K4" s="229"/>
      <c r="L4" s="229"/>
      <c r="M4" s="229"/>
      <c r="N4" s="229"/>
    </row>
    <row r="5" ht="15.75" customHeight="1">
      <c r="A5" s="4"/>
      <c r="B5" s="21"/>
      <c r="C5" s="225"/>
      <c r="D5" s="226" t="str">
        <f t="shared" si="1"/>
        <v>#DIV/0!</v>
      </c>
      <c r="E5" s="48" t="str">
        <f t="shared" si="2"/>
        <v>#DIV/0!</v>
      </c>
      <c r="F5" s="4"/>
      <c r="G5" s="3"/>
      <c r="H5" s="4"/>
      <c r="I5" s="4"/>
      <c r="J5" s="3"/>
    </row>
    <row r="6" ht="15.75" customHeight="1">
      <c r="A6" s="4"/>
      <c r="B6" s="21"/>
      <c r="C6" s="225"/>
      <c r="D6" s="226" t="str">
        <f t="shared" si="1"/>
        <v>#DIV/0!</v>
      </c>
      <c r="E6" s="48" t="str">
        <f t="shared" si="2"/>
        <v>#DIV/0!</v>
      </c>
      <c r="F6" s="4"/>
      <c r="G6" s="4"/>
      <c r="H6" s="4"/>
      <c r="I6" s="4"/>
      <c r="J6" s="4"/>
    </row>
    <row r="7" ht="15.75" customHeight="1">
      <c r="A7" s="227"/>
      <c r="B7" s="228"/>
      <c r="C7" s="225"/>
      <c r="D7" s="226" t="str">
        <f t="shared" si="1"/>
        <v>#DIV/0!</v>
      </c>
      <c r="E7" s="48" t="str">
        <f t="shared" si="2"/>
        <v>#DIV/0!</v>
      </c>
      <c r="F7" s="4"/>
      <c r="G7" s="4"/>
      <c r="H7" s="4"/>
      <c r="I7" s="4"/>
      <c r="J7" s="4"/>
      <c r="K7" s="229"/>
      <c r="L7" s="229"/>
      <c r="M7" s="229"/>
      <c r="N7" s="229"/>
    </row>
    <row r="8" ht="15.75" customHeight="1">
      <c r="A8" s="4"/>
      <c r="B8" s="21"/>
      <c r="C8" s="225"/>
      <c r="D8" s="226" t="str">
        <f t="shared" si="1"/>
        <v>#DIV/0!</v>
      </c>
      <c r="E8" s="48" t="str">
        <f t="shared" si="2"/>
        <v>#DIV/0!</v>
      </c>
      <c r="F8" s="4"/>
      <c r="G8" s="3"/>
      <c r="H8" s="4"/>
      <c r="I8" s="4"/>
      <c r="J8" s="4"/>
    </row>
    <row r="9" ht="15.75" customHeight="1">
      <c r="A9" s="227"/>
      <c r="B9" s="228"/>
      <c r="C9" s="225"/>
      <c r="D9" s="226" t="str">
        <f t="shared" si="1"/>
        <v>#DIV/0!</v>
      </c>
      <c r="E9" s="48" t="str">
        <f t="shared" si="2"/>
        <v>#DIV/0!</v>
      </c>
      <c r="F9" s="4"/>
      <c r="G9" s="4"/>
      <c r="H9" s="4"/>
      <c r="I9" s="4"/>
      <c r="J9" s="4"/>
      <c r="K9" s="229"/>
      <c r="L9" s="229"/>
      <c r="M9" s="229"/>
      <c r="N9" s="229"/>
    </row>
    <row r="10" ht="15.75" customHeight="1">
      <c r="A10" s="227"/>
      <c r="B10" s="228"/>
      <c r="C10" s="225"/>
      <c r="D10" s="226" t="str">
        <f t="shared" si="1"/>
        <v>#DIV/0!</v>
      </c>
      <c r="E10" s="48" t="str">
        <f t="shared" si="2"/>
        <v>#DIV/0!</v>
      </c>
      <c r="F10" s="4"/>
      <c r="G10" s="4"/>
      <c r="H10" s="4"/>
      <c r="I10" s="4"/>
      <c r="J10" s="4"/>
      <c r="K10" s="229"/>
      <c r="L10" s="229"/>
      <c r="M10" s="229"/>
      <c r="N10" s="229"/>
    </row>
    <row r="11" ht="15.75" customHeight="1">
      <c r="A11" s="4"/>
      <c r="B11" s="21"/>
      <c r="C11" s="225"/>
      <c r="D11" s="226" t="str">
        <f t="shared" si="1"/>
        <v>#DIV/0!</v>
      </c>
      <c r="E11" s="48" t="str">
        <f t="shared" si="2"/>
        <v>#DIV/0!</v>
      </c>
      <c r="F11" s="4"/>
      <c r="G11" s="4"/>
      <c r="H11" s="4"/>
      <c r="I11" s="4"/>
      <c r="J11" s="3"/>
    </row>
    <row r="12" ht="15.75" customHeight="1">
      <c r="A12" s="230"/>
      <c r="B12" s="231"/>
      <c r="C12" s="225"/>
      <c r="D12" s="226" t="str">
        <f t="shared" si="1"/>
        <v>#DIV/0!</v>
      </c>
      <c r="E12" s="48" t="str">
        <f t="shared" si="2"/>
        <v>#DIV/0!</v>
      </c>
      <c r="F12" s="232"/>
      <c r="G12" s="232"/>
      <c r="H12" s="4"/>
      <c r="I12" s="4"/>
      <c r="J12" s="4"/>
      <c r="K12" s="229"/>
      <c r="L12" s="229"/>
      <c r="M12" s="229"/>
      <c r="N12" s="229"/>
    </row>
    <row r="13" ht="15.75" customHeight="1">
      <c r="A13" s="3"/>
      <c r="B13" s="21"/>
      <c r="C13" s="225"/>
      <c r="D13" s="233">
        <v>0.45</v>
      </c>
      <c r="E13" s="3"/>
      <c r="F13" s="3"/>
      <c r="G13" s="3"/>
      <c r="H13" s="3"/>
      <c r="I13" s="3"/>
      <c r="J13" s="3"/>
    </row>
    <row r="14" ht="15.75" customHeight="1">
      <c r="A14" s="232"/>
      <c r="B14" s="51"/>
      <c r="C14" s="225"/>
      <c r="D14" s="233">
        <v>0.45</v>
      </c>
      <c r="E14" s="3"/>
      <c r="F14" s="3"/>
      <c r="G14" s="3"/>
      <c r="H14" s="3"/>
      <c r="I14" s="3"/>
      <c r="J14" s="3"/>
    </row>
    <row r="15" ht="15.75" customHeight="1">
      <c r="A15" s="232" t="s">
        <v>21</v>
      </c>
      <c r="B15" s="234">
        <f>SUM(B2:B14)</f>
        <v>0</v>
      </c>
      <c r="C15" s="3"/>
      <c r="D15" s="3"/>
      <c r="E15" s="3"/>
      <c r="F15" s="3"/>
      <c r="G15" s="3"/>
      <c r="H15" s="3"/>
      <c r="I15" s="3"/>
      <c r="J15" s="3"/>
    </row>
    <row r="16" ht="15.75" customHeight="1">
      <c r="A16" s="4" t="s">
        <v>32</v>
      </c>
      <c r="B16" s="21"/>
      <c r="C16" s="3"/>
      <c r="D16" s="3"/>
      <c r="E16" s="3"/>
      <c r="F16" s="3"/>
      <c r="G16" s="3"/>
      <c r="H16" s="3"/>
      <c r="I16" s="3"/>
      <c r="J16" s="3"/>
    </row>
    <row r="17" ht="15.75" customHeight="1">
      <c r="B17" s="97"/>
    </row>
    <row r="18" ht="15.75" customHeight="1">
      <c r="B18" s="97"/>
    </row>
    <row r="19" ht="15.75" hidden="1" customHeight="1">
      <c r="A19" s="235" t="s">
        <v>265</v>
      </c>
      <c r="B19" s="97"/>
      <c r="C19" s="82" t="s">
        <v>266</v>
      </c>
      <c r="D19" s="82"/>
      <c r="E19" s="82"/>
    </row>
    <row r="20" ht="15.75" hidden="1" customHeight="1">
      <c r="A20" s="82" t="s">
        <v>267</v>
      </c>
      <c r="B20" s="97" t="s">
        <v>268</v>
      </c>
      <c r="C20" s="236">
        <v>45222.0</v>
      </c>
      <c r="D20" s="236"/>
      <c r="E20" s="236"/>
    </row>
    <row r="21" ht="15.75" hidden="1" customHeight="1">
      <c r="A21" s="82"/>
      <c r="B21" s="97"/>
    </row>
    <row r="22" ht="15.75" hidden="1" customHeight="1">
      <c r="C22" s="236"/>
      <c r="D22" s="236"/>
      <c r="E22" s="236"/>
    </row>
    <row r="23" ht="15.75" hidden="1" customHeight="1">
      <c r="A23" s="82" t="s">
        <v>269</v>
      </c>
      <c r="B23" s="97" t="s">
        <v>268</v>
      </c>
      <c r="C23" s="236">
        <v>45222.0</v>
      </c>
      <c r="D23" s="236"/>
      <c r="E23" s="236"/>
    </row>
    <row r="24" ht="15.75" hidden="1" customHeight="1">
      <c r="A24" s="82" t="s">
        <v>270</v>
      </c>
      <c r="B24" s="94" t="s">
        <v>268</v>
      </c>
    </row>
    <row r="25" ht="15.75" hidden="1" customHeight="1">
      <c r="A25" s="82" t="s">
        <v>271</v>
      </c>
    </row>
    <row r="26" ht="15.75" hidden="1" customHeight="1">
      <c r="A26" s="82"/>
      <c r="B26" s="97"/>
    </row>
    <row r="27" ht="15.75" hidden="1" customHeight="1">
      <c r="A27" s="82" t="s">
        <v>272</v>
      </c>
      <c r="B27" s="97"/>
    </row>
    <row r="28" ht="15.75" hidden="1" customHeight="1">
      <c r="A28" s="82" t="s">
        <v>273</v>
      </c>
      <c r="B28" s="97"/>
    </row>
    <row r="29" ht="15.75" hidden="1" customHeight="1">
      <c r="A29" s="82" t="s">
        <v>274</v>
      </c>
      <c r="B29" s="94" t="s">
        <v>268</v>
      </c>
    </row>
    <row r="30" ht="15.75" hidden="1" customHeight="1">
      <c r="A30" s="82" t="s">
        <v>275</v>
      </c>
    </row>
    <row r="31" ht="15.75" hidden="1" customHeight="1">
      <c r="A31" s="82" t="s">
        <v>276</v>
      </c>
    </row>
    <row r="32" ht="15.75" hidden="1" customHeight="1">
      <c r="A32" s="82" t="s">
        <v>277</v>
      </c>
    </row>
    <row r="33" ht="15.75" hidden="1" customHeight="1">
      <c r="A33" s="82" t="s">
        <v>278</v>
      </c>
    </row>
    <row r="34" ht="15.75" hidden="1" customHeight="1">
      <c r="A34" s="82" t="s">
        <v>279</v>
      </c>
      <c r="B34" s="97"/>
    </row>
    <row r="35" ht="15.75" hidden="1" customHeight="1">
      <c r="A35" s="82" t="s">
        <v>280</v>
      </c>
      <c r="B35" s="97"/>
    </row>
    <row r="36" ht="15.75" hidden="1" customHeight="1">
      <c r="A36" s="82" t="s">
        <v>281</v>
      </c>
      <c r="B36" s="97"/>
    </row>
    <row r="37" ht="15.75" hidden="1" customHeight="1">
      <c r="A37" s="82" t="s">
        <v>282</v>
      </c>
      <c r="B37" s="97"/>
    </row>
    <row r="38" ht="15.75" hidden="1" customHeight="1">
      <c r="A38" s="82" t="s">
        <v>283</v>
      </c>
      <c r="B38" s="97"/>
    </row>
    <row r="39" ht="15.75" hidden="1" customHeight="1">
      <c r="A39" s="82" t="s">
        <v>284</v>
      </c>
      <c r="B39" s="97" t="s">
        <v>285</v>
      </c>
    </row>
    <row r="40" ht="15.75" hidden="1" customHeight="1">
      <c r="A40" s="82" t="s">
        <v>286</v>
      </c>
      <c r="B40" s="97" t="s">
        <v>285</v>
      </c>
    </row>
    <row r="41" ht="15.75" hidden="1" customHeight="1">
      <c r="A41" s="82" t="s">
        <v>287</v>
      </c>
      <c r="B41" s="97" t="s">
        <v>285</v>
      </c>
    </row>
    <row r="42" ht="15.75" hidden="1" customHeight="1">
      <c r="A42" s="82" t="s">
        <v>288</v>
      </c>
      <c r="B42" s="97" t="s">
        <v>285</v>
      </c>
    </row>
    <row r="43" ht="15.75" hidden="1" customHeight="1">
      <c r="A43" s="82" t="s">
        <v>289</v>
      </c>
      <c r="B43" s="97" t="s">
        <v>285</v>
      </c>
    </row>
    <row r="44" ht="15.75" hidden="1" customHeight="1">
      <c r="A44" s="82" t="s">
        <v>290</v>
      </c>
      <c r="B44" s="97" t="s">
        <v>285</v>
      </c>
    </row>
    <row r="45" ht="15.75" hidden="1" customHeight="1">
      <c r="A45" s="82" t="s">
        <v>291</v>
      </c>
      <c r="B45" s="97" t="s">
        <v>285</v>
      </c>
    </row>
    <row r="46" ht="15.75" hidden="1" customHeight="1">
      <c r="A46" s="82" t="s">
        <v>292</v>
      </c>
      <c r="B46" s="97" t="s">
        <v>285</v>
      </c>
    </row>
    <row r="47" ht="15.75" hidden="1" customHeight="1">
      <c r="A47" s="82" t="s">
        <v>293</v>
      </c>
      <c r="B47" s="97" t="s">
        <v>285</v>
      </c>
    </row>
    <row r="48" ht="15.75" hidden="1" customHeight="1">
      <c r="A48" s="82" t="s">
        <v>294</v>
      </c>
      <c r="B48" s="97" t="s">
        <v>285</v>
      </c>
    </row>
    <row r="49" ht="15.75" hidden="1" customHeight="1">
      <c r="A49" s="82" t="s">
        <v>295</v>
      </c>
      <c r="B49" s="97" t="s">
        <v>285</v>
      </c>
    </row>
    <row r="50" ht="15.75" hidden="1" customHeight="1"/>
    <row r="51" ht="15.75" hidden="1" customHeight="1">
      <c r="A51" s="235" t="s">
        <v>296</v>
      </c>
      <c r="B51" s="97"/>
    </row>
    <row r="52" ht="15.75" hidden="1" customHeight="1">
      <c r="A52" s="82"/>
      <c r="B52" s="97"/>
    </row>
    <row r="53" ht="15.75" hidden="1" customHeight="1">
      <c r="A53" s="82"/>
      <c r="B53" s="97"/>
    </row>
    <row r="54" ht="15.75" hidden="1" customHeight="1">
      <c r="A54" s="82"/>
      <c r="B54" s="97"/>
    </row>
    <row r="55" ht="15.75" hidden="1" customHeight="1">
      <c r="A55" s="82" t="s">
        <v>297</v>
      </c>
      <c r="B55" s="97"/>
    </row>
    <row r="56" ht="15.75" hidden="1" customHeight="1">
      <c r="A56" s="82" t="s">
        <v>298</v>
      </c>
      <c r="B56" s="97"/>
    </row>
    <row r="57" ht="15.75" customHeight="1">
      <c r="B57" s="97"/>
    </row>
    <row r="58" ht="15.75" customHeight="1">
      <c r="B58" s="97"/>
    </row>
    <row r="59" ht="15.75" customHeight="1">
      <c r="B59" s="97"/>
    </row>
    <row r="60" ht="15.75" customHeight="1">
      <c r="B60" s="97"/>
    </row>
    <row r="61" ht="15.75" customHeight="1">
      <c r="B61" s="97"/>
    </row>
    <row r="62" ht="15.75" customHeight="1">
      <c r="B62" s="97"/>
    </row>
    <row r="63" ht="15.75" customHeight="1">
      <c r="B63" s="97"/>
    </row>
    <row r="64" ht="15.75" customHeight="1">
      <c r="B64" s="237"/>
    </row>
    <row r="65" ht="15.75" customHeight="1">
      <c r="B65" s="97"/>
    </row>
    <row r="66" ht="15.75" customHeight="1">
      <c r="B66" s="97"/>
    </row>
    <row r="67" ht="15.75" customHeight="1">
      <c r="B67" s="97"/>
    </row>
    <row r="68" ht="15.75" customHeight="1">
      <c r="B68" s="97"/>
    </row>
    <row r="69" ht="15.75" customHeight="1">
      <c r="B69" s="97"/>
    </row>
    <row r="70" ht="15.75" customHeight="1">
      <c r="B70" s="97"/>
    </row>
    <row r="71" ht="15.75" customHeight="1">
      <c r="B71" s="97"/>
    </row>
    <row r="72" ht="15.75" customHeight="1">
      <c r="B72" s="97"/>
    </row>
    <row r="73" ht="15.75" customHeight="1">
      <c r="B73" s="97"/>
    </row>
    <row r="74" ht="15.75" customHeight="1">
      <c r="B74" s="97"/>
    </row>
    <row r="75" ht="15.75" customHeight="1">
      <c r="B75" s="97"/>
    </row>
    <row r="76" ht="15.75" customHeight="1">
      <c r="B76" s="97"/>
    </row>
    <row r="77" ht="15.75" customHeight="1">
      <c r="B77" s="97"/>
    </row>
    <row r="78" ht="15.75" customHeight="1">
      <c r="B78" s="97"/>
    </row>
    <row r="79" ht="15.75" customHeight="1">
      <c r="B79" s="97"/>
    </row>
    <row r="80" ht="15.75" customHeight="1">
      <c r="B80" s="97"/>
    </row>
    <row r="81" ht="15.75" customHeight="1">
      <c r="B81" s="97"/>
    </row>
    <row r="82" ht="15.75" customHeight="1">
      <c r="B82" s="97"/>
    </row>
    <row r="83" ht="15.75" customHeight="1">
      <c r="B83" s="97"/>
    </row>
    <row r="84" ht="15.75" customHeight="1">
      <c r="B84" s="97"/>
    </row>
    <row r="85" ht="15.75" customHeight="1">
      <c r="B85" s="97"/>
    </row>
    <row r="86" ht="15.75" customHeight="1">
      <c r="B86" s="97"/>
    </row>
    <row r="87" ht="15.75" customHeight="1">
      <c r="B87" s="97"/>
    </row>
    <row r="88" ht="15.75" customHeight="1">
      <c r="B88" s="97"/>
    </row>
    <row r="89" ht="15.75" customHeight="1">
      <c r="B89" s="97"/>
    </row>
    <row r="90" ht="15.75" customHeight="1">
      <c r="B90" s="97"/>
    </row>
    <row r="91" ht="15.75" customHeight="1">
      <c r="B91" s="97"/>
    </row>
    <row r="92" ht="15.75" customHeight="1">
      <c r="B92" s="97"/>
    </row>
    <row r="93" ht="15.75" customHeight="1">
      <c r="B93" s="97"/>
    </row>
    <row r="94" ht="15.75" customHeight="1">
      <c r="B94" s="97"/>
    </row>
    <row r="95" ht="15.75" customHeight="1">
      <c r="B95" s="97"/>
    </row>
    <row r="96" ht="15.75" customHeight="1">
      <c r="B96" s="97"/>
    </row>
    <row r="97" ht="15.75" customHeight="1">
      <c r="B97" s="97"/>
    </row>
    <row r="98" ht="15.75" customHeight="1">
      <c r="B98" s="97"/>
    </row>
    <row r="99" ht="15.75" customHeight="1">
      <c r="B99" s="97"/>
    </row>
    <row r="100" ht="15.75" customHeight="1">
      <c r="B100" s="97"/>
    </row>
    <row r="101" ht="15.75" customHeight="1">
      <c r="B101" s="97"/>
    </row>
    <row r="102" ht="15.75" customHeight="1">
      <c r="B102" s="97"/>
    </row>
    <row r="103" ht="15.75" customHeight="1">
      <c r="B103" s="97"/>
    </row>
    <row r="104" ht="15.75" customHeight="1">
      <c r="B104" s="97"/>
    </row>
    <row r="105" ht="15.75" customHeight="1">
      <c r="B105" s="97"/>
    </row>
    <row r="106" ht="15.75" customHeight="1">
      <c r="B106" s="97"/>
    </row>
    <row r="107" ht="15.75" customHeight="1">
      <c r="B107" s="97"/>
    </row>
    <row r="108" ht="15.75" customHeight="1">
      <c r="B108" s="97"/>
    </row>
    <row r="109" ht="15.75" customHeight="1">
      <c r="B109" s="97"/>
    </row>
    <row r="110" ht="15.75" customHeight="1">
      <c r="B110" s="97"/>
    </row>
    <row r="111" ht="15.75" customHeight="1">
      <c r="B111" s="97"/>
    </row>
    <row r="112" ht="15.75" customHeight="1">
      <c r="B112" s="97"/>
    </row>
    <row r="113" ht="15.75" customHeight="1">
      <c r="B113" s="97"/>
    </row>
    <row r="114" ht="15.75" customHeight="1">
      <c r="B114" s="97"/>
    </row>
    <row r="115" ht="15.75" customHeight="1">
      <c r="B115" s="97"/>
    </row>
    <row r="116" ht="15.75" customHeight="1">
      <c r="B116" s="97"/>
    </row>
    <row r="117" ht="15.75" customHeight="1">
      <c r="B117" s="97"/>
    </row>
    <row r="118" ht="15.75" customHeight="1">
      <c r="B118" s="97"/>
    </row>
    <row r="119" ht="15.75" customHeight="1">
      <c r="B119" s="97"/>
    </row>
    <row r="120" ht="15.75" customHeight="1">
      <c r="B120" s="97"/>
    </row>
    <row r="121" ht="15.75" customHeight="1">
      <c r="B121" s="97"/>
    </row>
    <row r="122" ht="15.75" customHeight="1">
      <c r="B122" s="97"/>
    </row>
    <row r="123" ht="15.75" customHeight="1">
      <c r="B123" s="97"/>
    </row>
    <row r="124" ht="15.75" customHeight="1">
      <c r="B124" s="97"/>
    </row>
    <row r="125" ht="15.75" customHeight="1">
      <c r="B125" s="97"/>
    </row>
    <row r="126" ht="15.75" customHeight="1">
      <c r="B126" s="97"/>
    </row>
    <row r="127" ht="15.75" customHeight="1">
      <c r="B127" s="97"/>
    </row>
    <row r="128" ht="15.75" customHeight="1">
      <c r="B128" s="97"/>
    </row>
    <row r="129" ht="15.75" customHeight="1">
      <c r="B129" s="97"/>
    </row>
    <row r="130" ht="15.75" customHeight="1">
      <c r="B130" s="97"/>
    </row>
    <row r="131" ht="15.75" customHeight="1">
      <c r="B131" s="97"/>
    </row>
    <row r="132" ht="15.75" customHeight="1">
      <c r="B132" s="97"/>
    </row>
    <row r="133" ht="15.75" customHeight="1">
      <c r="B133" s="97"/>
    </row>
    <row r="134" ht="15.75" customHeight="1">
      <c r="B134" s="97"/>
    </row>
    <row r="135" ht="15.75" customHeight="1">
      <c r="B135" s="97"/>
    </row>
    <row r="136" ht="15.75" customHeight="1">
      <c r="B136" s="97"/>
    </row>
    <row r="137" ht="15.75" customHeight="1">
      <c r="B137" s="97"/>
    </row>
    <row r="138" ht="15.75" customHeight="1">
      <c r="B138" s="97"/>
    </row>
    <row r="139" ht="15.75" customHeight="1">
      <c r="B139" s="97"/>
    </row>
    <row r="140" ht="15.75" customHeight="1">
      <c r="B140" s="97"/>
    </row>
    <row r="141" ht="15.75" customHeight="1">
      <c r="B141" s="97"/>
    </row>
    <row r="142" ht="15.75" customHeight="1">
      <c r="B142" s="97"/>
    </row>
    <row r="143" ht="15.75" customHeight="1">
      <c r="B143" s="97"/>
    </row>
    <row r="144" ht="15.75" customHeight="1">
      <c r="B144" s="97"/>
    </row>
    <row r="145" ht="15.75" customHeight="1">
      <c r="B145" s="97"/>
    </row>
    <row r="146" ht="15.75" customHeight="1">
      <c r="B146" s="97"/>
    </row>
    <row r="147" ht="15.75" customHeight="1">
      <c r="B147" s="97"/>
    </row>
    <row r="148" ht="15.75" customHeight="1">
      <c r="B148" s="97"/>
    </row>
    <row r="149" ht="15.75" customHeight="1">
      <c r="B149" s="97"/>
    </row>
    <row r="150" ht="15.75" customHeight="1">
      <c r="B150" s="97"/>
    </row>
    <row r="151" ht="15.75" customHeight="1">
      <c r="B151" s="97"/>
    </row>
    <row r="152" ht="15.75" customHeight="1">
      <c r="B152" s="97"/>
    </row>
    <row r="153" ht="15.75" customHeight="1">
      <c r="B153" s="97"/>
    </row>
    <row r="154" ht="15.75" customHeight="1">
      <c r="B154" s="97"/>
    </row>
    <row r="155" ht="15.75" customHeight="1">
      <c r="B155" s="97"/>
    </row>
    <row r="156" ht="15.75" customHeight="1">
      <c r="B156" s="97"/>
    </row>
    <row r="157" ht="15.75" customHeight="1">
      <c r="B157" s="97"/>
    </row>
    <row r="158" ht="15.75" customHeight="1">
      <c r="B158" s="97"/>
    </row>
    <row r="159" ht="15.75" customHeight="1">
      <c r="B159" s="97"/>
    </row>
    <row r="160" ht="15.75" customHeight="1">
      <c r="B160" s="97"/>
    </row>
    <row r="161" ht="15.75" customHeight="1">
      <c r="B161" s="97"/>
    </row>
    <row r="162" ht="15.75" customHeight="1">
      <c r="B162" s="97"/>
    </row>
    <row r="163" ht="15.75" customHeight="1">
      <c r="B163" s="97"/>
    </row>
    <row r="164" ht="15.75" customHeight="1">
      <c r="B164" s="97"/>
    </row>
    <row r="165" ht="15.75" customHeight="1">
      <c r="B165" s="97"/>
    </row>
    <row r="166" ht="15.75" customHeight="1">
      <c r="B166" s="97"/>
    </row>
    <row r="167" ht="15.75" customHeight="1">
      <c r="B167" s="97"/>
    </row>
    <row r="168" ht="15.75" customHeight="1">
      <c r="B168" s="97"/>
    </row>
    <row r="169" ht="15.75" customHeight="1">
      <c r="B169" s="97"/>
    </row>
    <row r="170" ht="15.75" customHeight="1">
      <c r="B170" s="97"/>
    </row>
    <row r="171" ht="15.75" customHeight="1">
      <c r="B171" s="97"/>
    </row>
    <row r="172" ht="15.75" customHeight="1">
      <c r="B172" s="97"/>
    </row>
    <row r="173" ht="15.75" customHeight="1">
      <c r="B173" s="97"/>
    </row>
    <row r="174" ht="15.75" customHeight="1">
      <c r="B174" s="97"/>
    </row>
    <row r="175" ht="15.75" customHeight="1">
      <c r="B175" s="97"/>
    </row>
    <row r="176" ht="15.75" customHeight="1">
      <c r="B176" s="97"/>
    </row>
    <row r="177" ht="15.75" customHeight="1">
      <c r="B177" s="97"/>
    </row>
    <row r="178" ht="15.75" customHeight="1">
      <c r="B178" s="97"/>
    </row>
    <row r="179" ht="15.75" customHeight="1">
      <c r="B179" s="97"/>
    </row>
    <row r="180" ht="15.75" customHeight="1">
      <c r="B180" s="97"/>
    </row>
    <row r="181" ht="15.75" customHeight="1">
      <c r="B181" s="97"/>
    </row>
    <row r="182" ht="15.75" customHeight="1">
      <c r="B182" s="97"/>
    </row>
    <row r="183" ht="15.75" customHeight="1">
      <c r="B183" s="97"/>
    </row>
    <row r="184" ht="15.75" customHeight="1">
      <c r="B184" s="97"/>
    </row>
    <row r="185" ht="15.75" customHeight="1">
      <c r="B185" s="97"/>
    </row>
    <row r="186" ht="15.75" customHeight="1">
      <c r="B186" s="97"/>
    </row>
    <row r="187" ht="15.75" customHeight="1">
      <c r="B187" s="97"/>
    </row>
    <row r="188" ht="15.75" customHeight="1">
      <c r="B188" s="97"/>
    </row>
    <row r="189" ht="15.75" customHeight="1">
      <c r="B189" s="97"/>
    </row>
    <row r="190" ht="15.75" customHeight="1">
      <c r="B190" s="97"/>
    </row>
    <row r="191" ht="15.75" customHeight="1">
      <c r="B191" s="97"/>
    </row>
    <row r="192" ht="15.75" customHeight="1">
      <c r="B192" s="97"/>
    </row>
    <row r="193" ht="15.75" customHeight="1">
      <c r="B193" s="97"/>
    </row>
    <row r="194" ht="15.75" customHeight="1">
      <c r="B194" s="97"/>
    </row>
    <row r="195" ht="15.75" customHeight="1">
      <c r="B195" s="97"/>
    </row>
    <row r="196" ht="15.75" customHeight="1">
      <c r="B196" s="97"/>
    </row>
    <row r="197" ht="15.75" customHeight="1">
      <c r="B197" s="97"/>
    </row>
    <row r="198" ht="15.75" customHeight="1">
      <c r="B198" s="97"/>
    </row>
    <row r="199" ht="15.75" customHeight="1">
      <c r="B199" s="97"/>
    </row>
    <row r="200" ht="15.75" customHeight="1">
      <c r="B200" s="97"/>
    </row>
    <row r="201" ht="15.75" customHeight="1">
      <c r="B201" s="97"/>
    </row>
    <row r="202" ht="15.75" customHeight="1">
      <c r="B202" s="97"/>
    </row>
    <row r="203" ht="15.75" customHeight="1">
      <c r="B203" s="97"/>
    </row>
    <row r="204" ht="15.75" customHeight="1">
      <c r="B204" s="97"/>
    </row>
    <row r="205" ht="15.75" customHeight="1">
      <c r="B205" s="97"/>
    </row>
    <row r="206" ht="15.75" customHeight="1">
      <c r="B206" s="97"/>
    </row>
    <row r="207" ht="15.75" customHeight="1">
      <c r="B207" s="97"/>
    </row>
    <row r="208" ht="15.75" customHeight="1">
      <c r="B208" s="97"/>
    </row>
    <row r="209" ht="15.75" customHeight="1">
      <c r="B209" s="97"/>
    </row>
    <row r="210" ht="15.75" customHeight="1">
      <c r="B210" s="97"/>
    </row>
    <row r="211" ht="15.75" customHeight="1">
      <c r="B211" s="97"/>
    </row>
    <row r="212" ht="15.75" customHeight="1">
      <c r="B212" s="97"/>
    </row>
    <row r="213" ht="15.75" customHeight="1">
      <c r="B213" s="97"/>
    </row>
    <row r="214" ht="15.75" customHeight="1">
      <c r="B214" s="97"/>
    </row>
    <row r="215" ht="15.75" customHeight="1">
      <c r="B215" s="97"/>
    </row>
    <row r="216" ht="15.75" customHeight="1">
      <c r="B216" s="97"/>
    </row>
    <row r="217" ht="15.75" customHeight="1">
      <c r="B217" s="97"/>
    </row>
    <row r="218" ht="15.75" customHeight="1">
      <c r="B218" s="97"/>
    </row>
    <row r="219" ht="15.75" customHeight="1">
      <c r="B219" s="97"/>
    </row>
    <row r="220" ht="15.75" customHeight="1">
      <c r="B220" s="97"/>
    </row>
    <row r="221" ht="15.75" customHeight="1">
      <c r="B221" s="97"/>
    </row>
    <row r="222" ht="15.75" customHeight="1">
      <c r="B222" s="97"/>
    </row>
    <row r="223" ht="15.75" customHeight="1">
      <c r="B223" s="97"/>
    </row>
    <row r="224" ht="15.75" customHeight="1">
      <c r="B224" s="97"/>
    </row>
    <row r="225" ht="15.75" customHeight="1">
      <c r="B225" s="97"/>
    </row>
    <row r="226" ht="15.75" customHeight="1">
      <c r="B226" s="97"/>
    </row>
    <row r="227" ht="15.75" customHeight="1">
      <c r="B227" s="97"/>
    </row>
    <row r="228" ht="15.75" customHeight="1">
      <c r="B228" s="97"/>
    </row>
    <row r="229" ht="15.75" customHeight="1">
      <c r="B229" s="97"/>
    </row>
    <row r="230" ht="15.75" customHeight="1">
      <c r="B230" s="97"/>
    </row>
    <row r="231" ht="15.75" customHeight="1">
      <c r="B231" s="97"/>
    </row>
    <row r="232" ht="15.75" customHeight="1">
      <c r="B232" s="97"/>
    </row>
    <row r="233" ht="15.75" customHeight="1">
      <c r="B233" s="97"/>
    </row>
    <row r="234" ht="15.75" customHeight="1">
      <c r="B234" s="97"/>
    </row>
    <row r="235" ht="15.75" customHeight="1">
      <c r="B235" s="97"/>
    </row>
    <row r="236" ht="15.75" customHeight="1">
      <c r="B236" s="97"/>
    </row>
    <row r="237" ht="15.75" customHeight="1">
      <c r="B237" s="97"/>
    </row>
    <row r="238" ht="15.75" customHeight="1">
      <c r="B238" s="97"/>
    </row>
    <row r="239" ht="15.75" customHeight="1">
      <c r="B239" s="97"/>
    </row>
    <row r="240" ht="15.75" customHeight="1">
      <c r="B240" s="97"/>
    </row>
    <row r="241" ht="15.75" customHeight="1">
      <c r="B241" s="97"/>
    </row>
    <row r="242" ht="15.75" customHeight="1">
      <c r="B242" s="97"/>
    </row>
    <row r="243" ht="15.75" customHeight="1">
      <c r="B243" s="97"/>
    </row>
    <row r="244" ht="15.75" customHeight="1">
      <c r="B244" s="97"/>
    </row>
    <row r="245" ht="15.75" customHeight="1">
      <c r="B245" s="97"/>
    </row>
    <row r="246" ht="15.75" customHeight="1">
      <c r="B246" s="97"/>
    </row>
    <row r="247" ht="15.75" customHeight="1">
      <c r="B247" s="97"/>
    </row>
    <row r="248" ht="15.75" customHeight="1">
      <c r="B248" s="97"/>
    </row>
    <row r="249" ht="15.75" customHeight="1">
      <c r="B249" s="97"/>
    </row>
    <row r="250" ht="15.75" customHeight="1">
      <c r="B250" s="97"/>
    </row>
    <row r="251" ht="15.75" customHeight="1">
      <c r="B251" s="97"/>
    </row>
    <row r="252" ht="15.75" customHeight="1">
      <c r="B252" s="97"/>
    </row>
    <row r="253" ht="15.75" customHeight="1">
      <c r="B253" s="97"/>
    </row>
    <row r="254" ht="15.75" customHeight="1">
      <c r="B254" s="97"/>
    </row>
    <row r="255" ht="15.75" customHeight="1">
      <c r="B255" s="97"/>
    </row>
    <row r="256" ht="15.75" customHeight="1">
      <c r="B256" s="97"/>
    </row>
    <row r="257" ht="15.75" customHeight="1">
      <c r="B257" s="97"/>
    </row>
    <row r="258" ht="15.75" customHeight="1">
      <c r="B258" s="97"/>
    </row>
    <row r="259" ht="15.75" customHeight="1">
      <c r="B259" s="97"/>
    </row>
    <row r="260" ht="15.75" customHeight="1">
      <c r="B260" s="97"/>
    </row>
    <row r="261" ht="15.75" customHeight="1">
      <c r="B261" s="97"/>
    </row>
    <row r="262" ht="15.75" customHeight="1">
      <c r="B262" s="97"/>
    </row>
    <row r="263" ht="15.75" customHeight="1">
      <c r="B263" s="97"/>
    </row>
    <row r="264" ht="15.75" customHeight="1">
      <c r="B264" s="97"/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16"/>
  <printOptions/>
  <pageMargins bottom="0.0" footer="0.0" header="0.0" left="0.0" right="0.0" top="0.0"/>
  <pageSetup orientation="landscape"/>
  <drawing r:id="rId1"/>
</worksheet>
</file>