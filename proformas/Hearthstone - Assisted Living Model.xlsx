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l Overview" sheetId="1" r:id="rId5"/>
    <sheet state="visible" name="Sources and Uses" sheetId="2" r:id="rId6"/>
    <sheet state="visible" name="Proforma" sheetId="3" r:id="rId7"/>
    <sheet state="visible" name="3 Year Proforma" sheetId="4" r:id="rId8"/>
    <sheet state="visible" name="Reimbursements" sheetId="5" r:id="rId9"/>
    <sheet state="visible" name="Capital Stack" sheetId="6" r:id="rId10"/>
  </sheets>
  <definedNames>
    <definedName hidden="1" localSheetId="5" name="_xlnm._FilterDatabase">'Capital Stack'!$A$1:$J$16</definedName>
  </definedNames>
  <calcPr/>
</workbook>
</file>

<file path=xl/sharedStrings.xml><?xml version="1.0" encoding="utf-8"?>
<sst xmlns="http://schemas.openxmlformats.org/spreadsheetml/2006/main" count="351" uniqueCount="258">
  <si>
    <t>Deal Summary</t>
  </si>
  <si>
    <t>Sensitivity Analysis</t>
  </si>
  <si>
    <t>Cost Summary</t>
  </si>
  <si>
    <t xml:space="preserve">Cost </t>
  </si>
  <si>
    <t>Scenarios &gt;&gt;&gt;</t>
  </si>
  <si>
    <t>Disappointed</t>
  </si>
  <si>
    <t>Conservative</t>
  </si>
  <si>
    <t>Expected</t>
  </si>
  <si>
    <t>Aggressive</t>
  </si>
  <si>
    <t>Purchase Price</t>
  </si>
  <si>
    <t>Gross Potential Rent</t>
  </si>
  <si>
    <t>Vacancy</t>
  </si>
  <si>
    <t>Total Fees</t>
  </si>
  <si>
    <t>Other Income</t>
  </si>
  <si>
    <t>Total Equity</t>
  </si>
  <si>
    <t>Effective Gross Income</t>
  </si>
  <si>
    <t>Reserve</t>
  </si>
  <si>
    <t>Expenses</t>
  </si>
  <si>
    <t>Total Cost</t>
  </si>
  <si>
    <t>Management Fees 3rd Party</t>
  </si>
  <si>
    <t>Vega Asset Management Fees</t>
  </si>
  <si>
    <t>Total</t>
  </si>
  <si>
    <t>$</t>
  </si>
  <si>
    <t>%</t>
  </si>
  <si>
    <t>Misc Unexpected Expense Reserve</t>
  </si>
  <si>
    <t>Equity</t>
  </si>
  <si>
    <t>Net Operating Income</t>
  </si>
  <si>
    <t>Debt</t>
  </si>
  <si>
    <t>Total Required Capital From All Sources</t>
  </si>
  <si>
    <t>Annual Payment</t>
  </si>
  <si>
    <t>Cash Flow</t>
  </si>
  <si>
    <t>Investor Pref</t>
  </si>
  <si>
    <t>Remaining</t>
  </si>
  <si>
    <t>Sponsor Promote</t>
  </si>
  <si>
    <t>Investor Split</t>
  </si>
  <si>
    <t>Sponsor Split</t>
  </si>
  <si>
    <t>Total Investor Cash Flow Upon Stabilization</t>
  </si>
  <si>
    <t>1st Year Cash on Cash</t>
  </si>
  <si>
    <t xml:space="preserve">1st Year Principal Reduction </t>
  </si>
  <si>
    <t>Total 1st Year benefit</t>
  </si>
  <si>
    <t>Sources and Uses of Funds</t>
  </si>
  <si>
    <t>Acquisition Assumptions</t>
  </si>
  <si>
    <t>Lender</t>
  </si>
  <si>
    <t>Amount</t>
  </si>
  <si>
    <t>Interest Rate</t>
  </si>
  <si>
    <t>Term</t>
  </si>
  <si>
    <t>Monthly Payment</t>
  </si>
  <si>
    <t>Principal Reduction</t>
  </si>
  <si>
    <t>Year 1</t>
  </si>
  <si>
    <t>Year 2</t>
  </si>
  <si>
    <t>Year 3</t>
  </si>
  <si>
    <t>Year 4</t>
  </si>
  <si>
    <t>Year 5</t>
  </si>
  <si>
    <t>Total Project Cost</t>
  </si>
  <si>
    <t>1st Position</t>
  </si>
  <si>
    <t>1st Position Loan (Bank)</t>
  </si>
  <si>
    <t>2nd Position</t>
  </si>
  <si>
    <t>2nd Position Loan (SBA)</t>
  </si>
  <si>
    <t>Seller</t>
  </si>
  <si>
    <t>3rd Position Seller Finance</t>
  </si>
  <si>
    <t>Monthly Debt Service</t>
  </si>
  <si>
    <t>Total Principal Reduction</t>
  </si>
  <si>
    <t>Total Debt</t>
  </si>
  <si>
    <t>Annual Debt Service</t>
  </si>
  <si>
    <t>Loan Balance</t>
  </si>
  <si>
    <t>Down Payment</t>
  </si>
  <si>
    <t>Excess Land Value</t>
  </si>
  <si>
    <t>Fees</t>
  </si>
  <si>
    <t>Total Sources and Uses</t>
  </si>
  <si>
    <t>Bank Fees</t>
  </si>
  <si>
    <t>Bank Required Down Payment</t>
  </si>
  <si>
    <t>Vega Capital Markets Fee</t>
  </si>
  <si>
    <t>Acquisition Fee</t>
  </si>
  <si>
    <t>Due Diligence Costs</t>
  </si>
  <si>
    <t xml:space="preserve">Total </t>
  </si>
  <si>
    <t>Closing Costs</t>
  </si>
  <si>
    <t>TIC Agreement</t>
  </si>
  <si>
    <t>Closing Docs</t>
  </si>
  <si>
    <t>Fund II ***8204</t>
  </si>
  <si>
    <t>Journal Entry 1 - Acquisition fees</t>
  </si>
  <si>
    <t>Ownership</t>
  </si>
  <si>
    <t xml:space="preserve">Current Funds </t>
  </si>
  <si>
    <t>Transfer</t>
  </si>
  <si>
    <t>Account</t>
  </si>
  <si>
    <t>Debits</t>
  </si>
  <si>
    <t>Credits</t>
  </si>
  <si>
    <t>Fund II - Vega Hearthstone AL LLC</t>
  </si>
  <si>
    <t>Acqusiition Fees</t>
  </si>
  <si>
    <t>Phillip Chipping</t>
  </si>
  <si>
    <t>Capital From Vega Assisted Living Fund II, LP</t>
  </si>
  <si>
    <t>Hearthstone Personal Holdings LLC</t>
  </si>
  <si>
    <t>Journal Entry 2 - Building/Mortgages</t>
  </si>
  <si>
    <t>Buildings</t>
  </si>
  <si>
    <t>Land</t>
  </si>
  <si>
    <t>Mortgages</t>
  </si>
  <si>
    <t>Capital from Vega Assisted Living Fund II, LP</t>
  </si>
  <si>
    <t>Capital from Phillip Chipping</t>
  </si>
  <si>
    <t>Capital from Hearthstone Personal Holdings</t>
  </si>
  <si>
    <t>Inspections</t>
  </si>
  <si>
    <t>Capital from vega Assisted Living Fund II, LP</t>
  </si>
  <si>
    <t>Fund II Journal Entry - Credit from Vega Property Holdings LLC</t>
  </si>
  <si>
    <t xml:space="preserve">Balance Sheet </t>
  </si>
  <si>
    <t>LP Capital Contributions</t>
  </si>
  <si>
    <t>Funds in Property Balance Sheet from Fund II</t>
  </si>
  <si>
    <t>Vega Sandy City AL LLC</t>
  </si>
  <si>
    <t>Funds in Fund Balance Sheet for Property</t>
  </si>
  <si>
    <t>Loan Consulting Fee Paid to Vega Capital Markets LLC</t>
  </si>
  <si>
    <t xml:space="preserve">Paid - transferred on </t>
  </si>
  <si>
    <t>Mortgage Principale (deleted) on P&amp;L</t>
  </si>
  <si>
    <t>3 Year Historicals (Actuals)</t>
  </si>
  <si>
    <t>Year</t>
  </si>
  <si>
    <t>2025 YTD (May)</t>
  </si>
  <si>
    <t>2025 Annualized</t>
  </si>
  <si>
    <t>Proforma Year 1</t>
  </si>
  <si>
    <t>Proforma Year 2</t>
  </si>
  <si>
    <t>Proforma Year 3</t>
  </si>
  <si>
    <t>Proforma Year 4</t>
  </si>
  <si>
    <t>Proforma Year 5</t>
  </si>
  <si>
    <t>Potential Income</t>
  </si>
  <si>
    <t>Income</t>
  </si>
  <si>
    <t>Day Care</t>
  </si>
  <si>
    <t>Rental Income</t>
  </si>
  <si>
    <t>Move In Fees</t>
  </si>
  <si>
    <t>Total Income</t>
  </si>
  <si>
    <t>Accounting</t>
  </si>
  <si>
    <t>Advertising/Promotional</t>
  </si>
  <si>
    <t>Bank Charges</t>
  </si>
  <si>
    <t>Business licenses/Permits</t>
  </si>
  <si>
    <t>Nursing</t>
  </si>
  <si>
    <t>Dietician</t>
  </si>
  <si>
    <t>Dues &amp; Subscriptions</t>
  </si>
  <si>
    <t>Administrator Expense</t>
  </si>
  <si>
    <t>Employee Expenses</t>
  </si>
  <si>
    <t>Franchise Fees</t>
  </si>
  <si>
    <t>Cleaning</t>
  </si>
  <si>
    <t>Household Supplies</t>
  </si>
  <si>
    <t>Management Fees</t>
  </si>
  <si>
    <t>General business expenses</t>
  </si>
  <si>
    <t>Insurance</t>
  </si>
  <si>
    <t>Liability insurance</t>
  </si>
  <si>
    <t>Property insurance</t>
  </si>
  <si>
    <t>Lease Payments - Equipment</t>
  </si>
  <si>
    <t>Medical Supplies</t>
  </si>
  <si>
    <t>Office expenses</t>
  </si>
  <si>
    <t>Operations Contract Service</t>
  </si>
  <si>
    <t>Placement Fees</t>
  </si>
  <si>
    <t>Raw Food</t>
  </si>
  <si>
    <t>Repairs &amp; maintenance</t>
  </si>
  <si>
    <t>Resident Activities</t>
  </si>
  <si>
    <t>Taxes paid</t>
  </si>
  <si>
    <t>Property taxes</t>
  </si>
  <si>
    <t>Personal Property Taxes</t>
  </si>
  <si>
    <t>Travel/Vehicle</t>
  </si>
  <si>
    <t>Utilities</t>
  </si>
  <si>
    <t>Misc Expense</t>
  </si>
  <si>
    <t>Total Expenses</t>
  </si>
  <si>
    <t>Cap Rate</t>
  </si>
  <si>
    <t>Expense Ratio</t>
  </si>
  <si>
    <t>Misc Unforseen/Reserves</t>
  </si>
  <si>
    <t>Mortgage</t>
  </si>
  <si>
    <t>Asset Management Fees</t>
  </si>
  <si>
    <t>Net Cash Fow</t>
  </si>
  <si>
    <t>Return</t>
  </si>
  <si>
    <t>Sale Price</t>
  </si>
  <si>
    <t>Sale Costs</t>
  </si>
  <si>
    <t>Net Proceeds</t>
  </si>
  <si>
    <t>Investor Preferred Return</t>
  </si>
  <si>
    <t>Net Estimated Annual Cash Flow to Investors</t>
  </si>
  <si>
    <t>Estimated Return to Investors</t>
  </si>
  <si>
    <t>Total Sponsor Fees</t>
  </si>
  <si>
    <t>Cash flow Promote</t>
  </si>
  <si>
    <t>Disposition Fees if we sell</t>
  </si>
  <si>
    <t>Loan Fees</t>
  </si>
  <si>
    <t>Promote on Sale</t>
  </si>
  <si>
    <t>Sale Cost</t>
  </si>
  <si>
    <t>Returned to Inv.</t>
  </si>
  <si>
    <t>Total Return</t>
  </si>
  <si>
    <t>Annualized Return</t>
  </si>
  <si>
    <t>Total Cash Flow</t>
  </si>
  <si>
    <t>Total Profit at Sale</t>
  </si>
  <si>
    <t>Expenses Removed</t>
  </si>
  <si>
    <t>Total Investor Pref</t>
  </si>
  <si>
    <t>Related Party Rent</t>
  </si>
  <si>
    <t>Net to Split</t>
  </si>
  <si>
    <t>Owner Meals</t>
  </si>
  <si>
    <t>Sponsor</t>
  </si>
  <si>
    <t>Owner Travel</t>
  </si>
  <si>
    <t>$ -</t>
  </si>
  <si>
    <t>Investor Total</t>
  </si>
  <si>
    <t>Vehicle Expense</t>
  </si>
  <si>
    <t>Interest Expense</t>
  </si>
  <si>
    <t>West Jordan</t>
  </si>
  <si>
    <t>Year 0</t>
  </si>
  <si>
    <t>Net Proceeds from Sale</t>
  </si>
  <si>
    <t>Sponsor Share</t>
  </si>
  <si>
    <t>Total to Investor</t>
  </si>
  <si>
    <t>Irr</t>
  </si>
  <si>
    <t>3 Year Proforma</t>
  </si>
  <si>
    <t>Actuals</t>
  </si>
  <si>
    <t>Vacancy @ 5%</t>
  </si>
  <si>
    <t>Excluded Expenses</t>
  </si>
  <si>
    <t>Owner HSA</t>
  </si>
  <si>
    <t>Owner Life Insurance</t>
  </si>
  <si>
    <t>Owner Salary</t>
  </si>
  <si>
    <t>Owner Vehicle</t>
  </si>
  <si>
    <t>Owner Storage Unit</t>
  </si>
  <si>
    <t>Owner Short Term Interst</t>
  </si>
  <si>
    <t>Owner Other Income</t>
  </si>
  <si>
    <t>Owner Mortgage Payment</t>
  </si>
  <si>
    <t>Check</t>
  </si>
  <si>
    <t>Deposited to</t>
  </si>
  <si>
    <t>Earnest Money</t>
  </si>
  <si>
    <t>Cory 1031 Money</t>
  </si>
  <si>
    <t>Apprisal</t>
  </si>
  <si>
    <t>Inspection</t>
  </si>
  <si>
    <t>Environmental</t>
  </si>
  <si>
    <t>Investor</t>
  </si>
  <si>
    <t>Name/Entity</t>
  </si>
  <si>
    <t>Final Ownership</t>
  </si>
  <si>
    <t>Email</t>
  </si>
  <si>
    <t>Identifier</t>
  </si>
  <si>
    <t>Signed Docs</t>
  </si>
  <si>
    <t>Wire</t>
  </si>
  <si>
    <t>Both</t>
  </si>
  <si>
    <t>Reached out</t>
  </si>
  <si>
    <t xml:space="preserve">Followed up. </t>
  </si>
  <si>
    <t>Cam Cope</t>
  </si>
  <si>
    <t>Maybe</t>
  </si>
  <si>
    <t>Bryan Griffiths</t>
  </si>
  <si>
    <t>Alex Smith</t>
  </si>
  <si>
    <t>Randy Clayton</t>
  </si>
  <si>
    <t>Ben Clayton</t>
  </si>
  <si>
    <t>Jeff Meihoffer</t>
  </si>
  <si>
    <t>Rich Toloti</t>
  </si>
  <si>
    <t>Woody Klemetson</t>
  </si>
  <si>
    <t>Sterling Snow</t>
  </si>
  <si>
    <t>Blakely Cragun</t>
  </si>
  <si>
    <t>Adam and Andrew Law</t>
  </si>
  <si>
    <t>Ray Dodd</t>
  </si>
  <si>
    <t>Todd Orullian</t>
  </si>
  <si>
    <t>Adam Christensen</t>
  </si>
  <si>
    <t>Matt Boardman</t>
  </si>
  <si>
    <t>Scott Eliason</t>
  </si>
  <si>
    <t>Devin Deaton</t>
  </si>
  <si>
    <t>No</t>
  </si>
  <si>
    <t>Cameron Lee</t>
  </si>
  <si>
    <t>Eric Motzkus</t>
  </si>
  <si>
    <t>Aaron Meier</t>
  </si>
  <si>
    <t>Mike Peterson</t>
  </si>
  <si>
    <t>Jon Waddoups</t>
  </si>
  <si>
    <t>Joel Reichert</t>
  </si>
  <si>
    <t>Brad and Emily Forsyth</t>
  </si>
  <si>
    <t>James Brewster</t>
  </si>
  <si>
    <t>Lance Jorgenson</t>
  </si>
  <si>
    <t>Dave Soper</t>
  </si>
  <si>
    <t>Potential Others</t>
  </si>
  <si>
    <t>American Enterprises</t>
  </si>
  <si>
    <t>Jake Despain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</si>
</sst>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$&quot;#,##0"/>
    <numFmt numFmtId="165" formatCode="&quot;$&quot;#,##0.00"/>
    <numFmt numFmtId="166" formatCode="&quot;$&quot;#,##0.00_);\(&quot;$&quot;#,##0.00\)"/>
    <numFmt numFmtId="167" formatCode="&quot;$&quot;#,##0_);\(&quot;$&quot;#,##0\)"/>
    <numFmt numFmtId="168" formatCode="m-d-yy"/>
    <numFmt numFmtId="169" formatCode="&quot;$&quot;#,##0.00_);[Red]\(&quot;$&quot;#,##0.00\)"/>
    <numFmt numFmtId="170" formatCode="_([$$-409]* #,##0.00_);_([$$-409]* \(#,##0.00\);_([$$-409]* &quot;-&quot;??_);_(@_)"/>
    <numFmt numFmtId="171" formatCode="0.0000%"/>
    <numFmt numFmtId="172" formatCode="m\-d\-yy"/>
  </numFmts>
  <fonts count="27">
    <font>
      <sz val="10.0"/>
      <color rgb="FF000000"/>
      <name val="Arial"/>
      <scheme val="minor"/>
    </font>
    <font>
      <b/>
      <sz val="16.0"/>
      <color theme="1"/>
      <name val="Calibri"/>
    </font>
    <font>
      <color theme="1"/>
      <name val="Arial"/>
    </font>
    <font>
      <b/>
      <color rgb="FFFFFFFF"/>
      <name val="Arial"/>
    </font>
    <font>
      <b/>
      <i/>
      <color theme="1"/>
      <name val="Arial"/>
    </font>
    <font>
      <b/>
      <color theme="1"/>
      <name val="Arial"/>
    </font>
    <font>
      <b/>
      <color rgb="FF0000FF"/>
      <name val="Arial"/>
    </font>
    <font>
      <b/>
      <sz val="11.0"/>
      <color rgb="FFFFFFFF"/>
      <name val="Calibri"/>
    </font>
    <font/>
    <font>
      <sz val="11.0"/>
      <color theme="1"/>
      <name val="Calibri"/>
    </font>
    <font>
      <sz val="11.0"/>
      <color rgb="FF0000FF"/>
      <name val="Calibri"/>
    </font>
    <font>
      <sz val="11.0"/>
      <color rgb="FF000000"/>
      <name val="Calibri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10.0"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0.0"/>
      <color rgb="FF000000"/>
      <name val="Arial"/>
    </font>
    <font>
      <sz val="11.0"/>
      <color theme="1"/>
      <name val="Arial"/>
    </font>
    <font>
      <sz val="11.0"/>
      <color rgb="FF000000"/>
      <name val="Aptos Narrow"/>
    </font>
    <font>
      <sz val="11.0"/>
      <color theme="1"/>
      <name val="Aptos Narrow"/>
    </font>
    <font>
      <b/>
      <u/>
      <sz val="10.0"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0396F"/>
        <bgColor rgb="FF00396F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6AA84F"/>
        <bgColor rgb="FF6AA84F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38761D"/>
        <bgColor rgb="FF38761D"/>
      </patternFill>
    </fill>
    <fill>
      <patternFill patternType="solid">
        <fgColor rgb="FF92D050"/>
        <bgColor rgb="FF92D050"/>
      </patternFill>
    </fill>
  </fills>
  <borders count="31">
    <border/>
    <border>
      <bottom style="thick">
        <color rgb="FF0072DF"/>
      </bottom>
    </border>
    <border>
      <left/>
      <right/>
      <top/>
      <bottom/>
    </border>
    <border>
      <left/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top/>
      <bottom/>
    </border>
    <border>
      <top style="thin">
        <color rgb="FF000000"/>
      </top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/>
      <bottom/>
    </border>
    <border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2" fontId="3" numFmtId="0" xfId="0" applyAlignment="1" applyBorder="1" applyFill="1" applyFont="1">
      <alignment vertical="bottom"/>
    </xf>
    <xf borderId="2" fillId="2" fontId="3" numFmtId="0" xfId="0" applyAlignment="1" applyBorder="1" applyFont="1">
      <alignment horizontal="center" vertical="bottom"/>
    </xf>
    <xf borderId="2" fillId="2" fontId="2" numFmtId="0" xfId="0" applyAlignment="1" applyBorder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3" fillId="4" fontId="3" numFmtId="0" xfId="0" applyAlignment="1" applyBorder="1" applyFill="1" applyFont="1">
      <alignment horizontal="center" vertical="bottom"/>
    </xf>
    <xf borderId="4" fillId="5" fontId="3" numFmtId="0" xfId="0" applyAlignment="1" applyBorder="1" applyFill="1" applyFont="1">
      <alignment horizontal="center" vertical="bottom"/>
    </xf>
    <xf borderId="5" fillId="6" fontId="3" numFmtId="0" xfId="0" applyAlignment="1" applyBorder="1" applyFill="1" applyFont="1">
      <alignment horizontal="center" vertical="bottom"/>
    </xf>
    <xf borderId="0" fillId="0" fontId="2" numFmtId="164" xfId="0" applyAlignment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  <xf borderId="6" fillId="7" fontId="4" numFmtId="0" xfId="0" applyAlignment="1" applyBorder="1" applyFill="1" applyFont="1">
      <alignment vertical="bottom"/>
    </xf>
    <xf borderId="6" fillId="7" fontId="4" numFmtId="166" xfId="0" applyAlignment="1" applyBorder="1" applyFont="1" applyNumberFormat="1">
      <alignment horizontal="right" vertical="bottom"/>
    </xf>
    <xf borderId="7" fillId="7" fontId="4" numFmtId="166" xfId="0" applyAlignment="1" applyBorder="1" applyFont="1" applyNumberFormat="1">
      <alignment horizontal="right" vertical="bottom"/>
    </xf>
    <xf borderId="8" fillId="7" fontId="4" numFmtId="166" xfId="0" applyAlignment="1" applyBorder="1" applyFont="1" applyNumberFormat="1">
      <alignment horizontal="right" vertical="bottom"/>
    </xf>
    <xf borderId="9" fillId="7" fontId="4" numFmtId="166" xfId="0" applyAlignment="1" applyBorder="1" applyFont="1" applyNumberFormat="1">
      <alignment horizontal="right" vertical="bottom"/>
    </xf>
    <xf borderId="0" fillId="0" fontId="2" numFmtId="167" xfId="0" applyAlignment="1" applyFont="1" applyNumberFormat="1">
      <alignment horizontal="right" vertical="bottom"/>
    </xf>
    <xf borderId="10" fillId="0" fontId="2" numFmtId="167" xfId="0" applyAlignment="1" applyBorder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10" fillId="0" fontId="2" numFmtId="164" xfId="0" applyAlignment="1" applyBorder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11" fillId="0" fontId="5" numFmtId="0" xfId="0" applyAlignment="1" applyBorder="1" applyFont="1">
      <alignment vertical="bottom"/>
    </xf>
    <xf borderId="11" fillId="0" fontId="5" numFmtId="164" xfId="0" applyAlignment="1" applyBorder="1" applyFont="1" applyNumberFormat="1">
      <alignment horizontal="center" vertical="bottom"/>
    </xf>
    <xf borderId="11" fillId="0" fontId="2" numFmtId="165" xfId="0" applyAlignment="1" applyBorder="1" applyFont="1" applyNumberFormat="1">
      <alignment vertical="bottom"/>
    </xf>
    <xf borderId="0" fillId="0" fontId="2" numFmtId="9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167" xfId="0" applyAlignment="1" applyFont="1" applyNumberFormat="1">
      <alignment horizontal="right" vertical="bottom"/>
    </xf>
    <xf borderId="12" fillId="0" fontId="5" numFmtId="167" xfId="0" applyAlignment="1" applyBorder="1" applyFont="1" applyNumberFormat="1">
      <alignment horizontal="right" vertical="bottom"/>
    </xf>
    <xf borderId="10" fillId="0" fontId="5" numFmtId="167" xfId="0" applyAlignment="1" applyBorder="1" applyFont="1" applyNumberFormat="1">
      <alignment horizontal="right" vertical="bottom"/>
    </xf>
    <xf borderId="0" fillId="0" fontId="2" numFmtId="167" xfId="0" applyAlignment="1" applyFont="1" applyNumberFormat="1">
      <alignment vertical="bottom"/>
    </xf>
    <xf borderId="10" fillId="0" fontId="2" numFmtId="167" xfId="0" applyAlignment="1" applyBorder="1" applyFont="1" applyNumberFormat="1">
      <alignment vertical="bottom"/>
    </xf>
    <xf borderId="11" fillId="0" fontId="5" numFmtId="0" xfId="0" applyAlignment="1" applyBorder="1" applyFont="1">
      <alignment shrinkToFit="0" vertical="bottom" wrapText="1"/>
    </xf>
    <xf borderId="11" fillId="0" fontId="6" numFmtId="164" xfId="0" applyAlignment="1" applyBorder="1" applyFont="1" applyNumberFormat="1">
      <alignment horizontal="right" vertical="bottom"/>
    </xf>
    <xf borderId="11" fillId="0" fontId="5" numFmtId="9" xfId="0" applyAlignment="1" applyBorder="1" applyFont="1" applyNumberFormat="1">
      <alignment horizontal="right" vertical="bottom"/>
    </xf>
    <xf borderId="2" fillId="7" fontId="4" numFmtId="0" xfId="0" applyAlignment="1" applyBorder="1" applyFont="1">
      <alignment vertical="bottom"/>
    </xf>
    <xf borderId="2" fillId="7" fontId="4" numFmtId="165" xfId="0" applyAlignment="1" applyBorder="1" applyFont="1" applyNumberFormat="1">
      <alignment horizontal="right" vertical="bottom"/>
    </xf>
    <xf borderId="3" fillId="7" fontId="4" numFmtId="165" xfId="0" applyAlignment="1" applyBorder="1" applyFont="1" applyNumberFormat="1">
      <alignment horizontal="right" vertical="bottom"/>
    </xf>
    <xf borderId="13" fillId="7" fontId="4" numFmtId="164" xfId="0" applyAlignment="1" applyBorder="1" applyFont="1" applyNumberFormat="1">
      <alignment horizontal="right" vertical="bottom"/>
    </xf>
    <xf borderId="5" fillId="7" fontId="4" numFmtId="165" xfId="0" applyAlignment="1" applyBorder="1" applyFont="1" applyNumberFormat="1">
      <alignment horizontal="right" vertical="bottom"/>
    </xf>
    <xf borderId="14" fillId="0" fontId="5" numFmtId="0" xfId="0" applyAlignment="1" applyBorder="1" applyFont="1">
      <alignment vertical="bottom"/>
    </xf>
    <xf borderId="11" fillId="0" fontId="5" numFmtId="167" xfId="0" applyAlignment="1" applyBorder="1" applyFont="1" applyNumberFormat="1">
      <alignment horizontal="right" vertical="bottom"/>
    </xf>
    <xf borderId="8" fillId="0" fontId="5" numFmtId="167" xfId="0" applyAlignment="1" applyBorder="1" applyFont="1" applyNumberFormat="1">
      <alignment horizontal="right" vertical="bottom"/>
    </xf>
    <xf borderId="2" fillId="2" fontId="3" numFmtId="10" xfId="0" applyAlignment="1" applyBorder="1" applyFont="1" applyNumberFormat="1">
      <alignment horizontal="center" vertical="bottom"/>
    </xf>
    <xf borderId="0" fillId="0" fontId="2" numFmtId="10" xfId="0" applyAlignment="1" applyFont="1" applyNumberFormat="1">
      <alignment horizontal="center" vertical="bottom"/>
    </xf>
    <xf borderId="12" fillId="0" fontId="2" numFmtId="167" xfId="0" applyAlignment="1" applyBorder="1" applyFont="1" applyNumberFormat="1">
      <alignment vertical="bottom"/>
    </xf>
    <xf borderId="15" fillId="0" fontId="2" numFmtId="0" xfId="0" applyAlignment="1" applyBorder="1" applyFont="1">
      <alignment vertical="bottom"/>
    </xf>
    <xf borderId="15" fillId="0" fontId="2" numFmtId="164" xfId="0" applyAlignment="1" applyBorder="1" applyFont="1" applyNumberFormat="1">
      <alignment vertical="bottom"/>
    </xf>
    <xf borderId="15" fillId="0" fontId="2" numFmtId="10" xfId="0" applyAlignment="1" applyBorder="1" applyFont="1" applyNumberFormat="1">
      <alignment horizontal="center" vertical="bottom"/>
    </xf>
    <xf borderId="0" fillId="0" fontId="2" numFmtId="10" xfId="0" applyAlignment="1" applyFont="1" applyNumberFormat="1">
      <alignment vertical="bottom"/>
    </xf>
    <xf borderId="16" fillId="8" fontId="4" numFmtId="0" xfId="0" applyAlignment="1" applyBorder="1" applyFill="1" applyFont="1">
      <alignment vertical="bottom"/>
    </xf>
    <xf borderId="15" fillId="8" fontId="4" numFmtId="10" xfId="0" applyAlignment="1" applyBorder="1" applyFont="1" applyNumberFormat="1">
      <alignment horizontal="right" vertical="bottom"/>
    </xf>
    <xf borderId="8" fillId="8" fontId="4" numFmtId="10" xfId="0" applyAlignment="1" applyBorder="1" applyFont="1" applyNumberFormat="1">
      <alignment horizontal="right" vertical="bottom"/>
    </xf>
    <xf borderId="9" fillId="8" fontId="4" numFmtId="10" xfId="0" applyAlignment="1" applyBorder="1" applyFont="1" applyNumberFormat="1">
      <alignment horizontal="right" vertical="bottom"/>
    </xf>
    <xf borderId="0" fillId="8" fontId="4" numFmtId="10" xfId="0" applyAlignment="1" applyFont="1" applyNumberFormat="1">
      <alignment horizontal="right" vertical="bottom"/>
    </xf>
    <xf borderId="17" fillId="8" fontId="4" numFmtId="10" xfId="0" applyAlignment="1" applyBorder="1" applyFont="1" applyNumberFormat="1">
      <alignment horizontal="right" vertical="bottom"/>
    </xf>
    <xf borderId="1" fillId="0" fontId="1" numFmtId="0" xfId="0" applyBorder="1" applyFont="1"/>
    <xf borderId="3" fillId="2" fontId="7" numFmtId="0" xfId="0" applyAlignment="1" applyBorder="1" applyFont="1">
      <alignment horizontal="center"/>
    </xf>
    <xf borderId="18" fillId="0" fontId="8" numFmtId="0" xfId="0" applyBorder="1" applyFont="1"/>
    <xf borderId="2" fillId="2" fontId="7" numFmtId="0" xfId="0" applyAlignment="1" applyBorder="1" applyFont="1">
      <alignment horizontal="center"/>
    </xf>
    <xf borderId="3" fillId="2" fontId="7" numFmtId="0" xfId="0" applyAlignment="1" applyBorder="1" applyFont="1">
      <alignment horizontal="center" vertical="bottom"/>
    </xf>
    <xf borderId="2" fillId="2" fontId="7" numFmtId="0" xfId="0" applyAlignment="1" applyBorder="1" applyFont="1">
      <alignment horizontal="center" vertical="bottom"/>
    </xf>
    <xf borderId="19" fillId="0" fontId="9" numFmtId="0" xfId="0" applyBorder="1" applyFont="1"/>
    <xf borderId="20" fillId="9" fontId="10" numFmtId="164" xfId="0" applyAlignment="1" applyBorder="1" applyFill="1" applyFont="1" applyNumberFormat="1">
      <alignment horizontal="right" readingOrder="0"/>
    </xf>
    <xf borderId="0" fillId="0" fontId="9" numFmtId="0" xfId="0" applyFont="1"/>
    <xf borderId="21" fillId="9" fontId="11" numFmtId="164" xfId="0" applyAlignment="1" applyBorder="1" applyFont="1" applyNumberFormat="1">
      <alignment horizontal="right"/>
    </xf>
    <xf borderId="0" fillId="0" fontId="12" numFmtId="10" xfId="0" applyAlignment="1" applyFont="1" applyNumberFormat="1">
      <alignment readingOrder="0"/>
    </xf>
    <xf borderId="0" fillId="0" fontId="12" numFmtId="0" xfId="0" applyFont="1"/>
    <xf borderId="0" fillId="0" fontId="12" numFmtId="165" xfId="0" applyFont="1" applyNumberFormat="1"/>
    <xf borderId="15" fillId="0" fontId="2" numFmtId="165" xfId="0" applyAlignment="1" applyBorder="1" applyFont="1" applyNumberFormat="1">
      <alignment horizontal="right" vertical="bottom"/>
    </xf>
    <xf borderId="20" fillId="9" fontId="10" numFmtId="9" xfId="0" applyAlignment="1" applyBorder="1" applyFont="1" applyNumberFormat="1">
      <alignment horizontal="right" readingOrder="0"/>
    </xf>
    <xf borderId="20" fillId="9" fontId="11" numFmtId="164" xfId="0" applyAlignment="1" applyBorder="1" applyFont="1" applyNumberFormat="1">
      <alignment horizontal="right"/>
    </xf>
    <xf borderId="15" fillId="0" fontId="9" numFmtId="0" xfId="0" applyBorder="1" applyFont="1"/>
    <xf borderId="22" fillId="9" fontId="11" numFmtId="164" xfId="0" applyAlignment="1" applyBorder="1" applyFont="1" applyNumberFormat="1">
      <alignment horizontal="right"/>
    </xf>
    <xf borderId="15" fillId="0" fontId="12" numFmtId="10" xfId="0" applyAlignment="1" applyBorder="1" applyFont="1" applyNumberFormat="1">
      <alignment readingOrder="0"/>
    </xf>
    <xf borderId="15" fillId="0" fontId="12" numFmtId="0" xfId="0" applyBorder="1" applyFont="1"/>
    <xf borderId="15" fillId="0" fontId="12" numFmtId="165" xfId="0" applyBorder="1" applyFont="1" applyNumberFormat="1"/>
    <xf borderId="15" fillId="0" fontId="2" numFmtId="165" xfId="0" applyAlignment="1" applyBorder="1" applyFont="1" applyNumberFormat="1">
      <alignment vertical="bottom"/>
    </xf>
    <xf borderId="0" fillId="0" fontId="2" numFmtId="0" xfId="0" applyFont="1"/>
    <xf borderId="15" fillId="0" fontId="12" numFmtId="10" xfId="0" applyBorder="1" applyFont="1" applyNumberFormat="1"/>
    <xf borderId="15" fillId="0" fontId="13" numFmtId="0" xfId="0" applyBorder="1" applyFont="1"/>
    <xf borderId="20" fillId="9" fontId="10" numFmtId="9" xfId="0" applyAlignment="1" applyBorder="1" applyFont="1" applyNumberFormat="1">
      <alignment horizontal="right"/>
    </xf>
    <xf borderId="0" fillId="0" fontId="12" numFmtId="164" xfId="0" applyFont="1" applyNumberFormat="1"/>
    <xf borderId="0" fillId="0" fontId="2" numFmtId="165" xfId="0" applyAlignment="1" applyFont="1" applyNumberFormat="1">
      <alignment horizontal="right" vertical="bottom"/>
    </xf>
    <xf borderId="0" fillId="0" fontId="2" numFmtId="10" xfId="0" applyFont="1" applyNumberFormat="1"/>
    <xf borderId="20" fillId="9" fontId="10" numFmtId="10" xfId="0" applyAlignment="1" applyBorder="1" applyFont="1" applyNumberFormat="1">
      <alignment horizontal="right" readingOrder="0"/>
    </xf>
    <xf borderId="0" fillId="0" fontId="12" numFmtId="10" xfId="0" applyFont="1" applyNumberFormat="1"/>
    <xf borderId="0" fillId="0" fontId="14" numFmtId="0" xfId="0" applyFont="1"/>
    <xf borderId="20" fillId="9" fontId="10" numFmtId="10" xfId="0" applyAlignment="1" applyBorder="1" applyFont="1" applyNumberFormat="1">
      <alignment horizontal="right"/>
    </xf>
    <xf borderId="14" fillId="0" fontId="15" numFmtId="0" xfId="0" applyBorder="1" applyFont="1"/>
    <xf borderId="14" fillId="0" fontId="15" numFmtId="164" xfId="0" applyBorder="1" applyFont="1" applyNumberFormat="1"/>
    <xf borderId="0" fillId="0" fontId="2" numFmtId="167" xfId="0" applyFont="1" applyNumberFormat="1"/>
    <xf borderId="0" fillId="0" fontId="2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10" fontId="17" numFmtId="0" xfId="0" applyAlignment="1" applyFill="1" applyFont="1">
      <alignment readingOrder="0" vertical="bottom"/>
    </xf>
    <xf borderId="15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10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readingOrder="0" vertical="bottom"/>
    </xf>
    <xf borderId="0" fillId="11" fontId="2" numFmtId="165" xfId="0" applyAlignment="1" applyFill="1" applyFont="1" applyNumberFormat="1">
      <alignment horizontal="right" vertical="bottom"/>
    </xf>
    <xf borderId="15" fillId="0" fontId="2" numFmtId="164" xfId="0" applyAlignment="1" applyBorder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15" fillId="0" fontId="2" numFmtId="10" xfId="0" applyAlignment="1" applyBorder="1" applyFont="1" applyNumberFormat="1">
      <alignment horizontal="right" vertical="bottom"/>
    </xf>
    <xf borderId="15" fillId="0" fontId="2" numFmtId="165" xfId="0" applyAlignment="1" applyBorder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11" fillId="10" fontId="18" numFmtId="0" xfId="0" applyAlignment="1" applyBorder="1" applyFont="1">
      <alignment readingOrder="0" vertical="bottom"/>
    </xf>
    <xf borderId="0" fillId="10" fontId="2" numFmtId="165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vertical="bottom"/>
    </xf>
    <xf borderId="0" fillId="0" fontId="2" numFmtId="165" xfId="0" applyAlignment="1" applyFont="1" applyNumberFormat="1">
      <alignment readingOrder="0" vertical="bottom"/>
    </xf>
    <xf borderId="15" fillId="0" fontId="2" numFmtId="165" xfId="0" applyAlignment="1" applyBorder="1" applyFont="1" applyNumberFormat="1">
      <alignment vertical="bottom"/>
    </xf>
    <xf borderId="0" fillId="10" fontId="19" numFmtId="0" xfId="0" applyAlignment="1" applyFont="1">
      <alignment vertical="bottom"/>
    </xf>
    <xf borderId="15" fillId="0" fontId="2" numFmtId="168" xfId="0" applyAlignment="1" applyBorder="1" applyFont="1" applyNumberFormat="1">
      <alignment horizontal="right" vertical="bottom"/>
    </xf>
    <xf borderId="0" fillId="11" fontId="2" numFmtId="165" xfId="0" applyAlignment="1" applyFont="1" applyNumberFormat="1">
      <alignment horizontal="right" readingOrder="0" vertical="bottom"/>
    </xf>
    <xf borderId="15" fillId="0" fontId="2" numFmtId="165" xfId="0" applyAlignment="1" applyBorder="1" applyFont="1" applyNumberFormat="1">
      <alignment horizontal="right" readingOrder="0" vertical="bottom"/>
    </xf>
    <xf borderId="0" fillId="0" fontId="2" numFmtId="168" xfId="0" applyAlignment="1" applyFont="1" applyNumberFormat="1">
      <alignment horizontal="right" vertical="bottom"/>
    </xf>
    <xf borderId="0" fillId="11" fontId="14" numFmtId="0" xfId="0" applyAlignment="1" applyFont="1">
      <alignment readingOrder="0"/>
    </xf>
    <xf borderId="0" fillId="11" fontId="14" numFmtId="4" xfId="0" applyAlignment="1" applyFont="1" applyNumberFormat="1">
      <alignment readingOrder="0"/>
    </xf>
    <xf borderId="1" fillId="0" fontId="9" numFmtId="0" xfId="0" applyBorder="1" applyFont="1"/>
    <xf borderId="0" fillId="0" fontId="15" numFmtId="0" xfId="0" applyFont="1"/>
    <xf borderId="23" fillId="12" fontId="20" numFmtId="0" xfId="0" applyAlignment="1" applyBorder="1" applyFill="1" applyFont="1">
      <alignment horizontal="center" shrinkToFit="0" wrapText="1"/>
    </xf>
    <xf borderId="21" fillId="12" fontId="20" numFmtId="0" xfId="0" applyAlignment="1" applyBorder="1" applyFont="1">
      <alignment horizontal="center" shrinkToFit="0" wrapText="1"/>
    </xf>
    <xf borderId="21" fillId="12" fontId="20" numFmtId="0" xfId="0" applyAlignment="1" applyBorder="1" applyFont="1">
      <alignment horizontal="center" readingOrder="0" shrinkToFit="0" wrapText="1"/>
    </xf>
    <xf borderId="23" fillId="0" fontId="20" numFmtId="0" xfId="0" applyAlignment="1" applyBorder="1" applyFont="1">
      <alignment shrinkToFit="0" wrapText="1"/>
    </xf>
    <xf borderId="21" fillId="0" fontId="21" numFmtId="165" xfId="0" applyAlignment="1" applyBorder="1" applyFont="1" applyNumberFormat="1">
      <alignment shrinkToFit="0" wrapText="1"/>
    </xf>
    <xf borderId="0" fillId="0" fontId="13" numFmtId="0" xfId="0" applyFont="1"/>
    <xf borderId="23" fillId="13" fontId="20" numFmtId="0" xfId="0" applyAlignment="1" applyBorder="1" applyFill="1" applyFont="1">
      <alignment shrinkToFit="0" wrapText="1"/>
    </xf>
    <xf borderId="21" fillId="13" fontId="20" numFmtId="0" xfId="0" applyAlignment="1" applyBorder="1" applyFont="1">
      <alignment shrinkToFit="0" wrapText="1"/>
    </xf>
    <xf borderId="23" fillId="0" fontId="21" numFmtId="0" xfId="0" applyAlignment="1" applyBorder="1" applyFont="1">
      <alignment horizontal="left" shrinkToFit="0" wrapText="1"/>
    </xf>
    <xf borderId="21" fillId="0" fontId="12" numFmtId="167" xfId="0" applyBorder="1" applyFont="1" applyNumberFormat="1"/>
    <xf borderId="21" fillId="0" fontId="12" numFmtId="167" xfId="0" applyAlignment="1" applyBorder="1" applyFont="1" applyNumberFormat="1">
      <alignment readingOrder="0"/>
    </xf>
    <xf borderId="21" fillId="0" fontId="22" numFmtId="169" xfId="0" applyAlignment="1" applyBorder="1" applyFont="1" applyNumberFormat="1">
      <alignment horizontal="right" readingOrder="0" shrinkToFit="0" wrapText="1"/>
    </xf>
    <xf borderId="0" fillId="0" fontId="23" numFmtId="165" xfId="0" applyAlignment="1" applyFont="1" applyNumberFormat="1">
      <alignment readingOrder="0"/>
    </xf>
    <xf borderId="21" fillId="0" fontId="12" numFmtId="166" xfId="0" applyAlignment="1" applyBorder="1" applyFont="1" applyNumberFormat="1">
      <alignment readingOrder="0"/>
    </xf>
    <xf borderId="21" fillId="0" fontId="12" numFmtId="166" xfId="0" applyBorder="1" applyFont="1" applyNumberFormat="1"/>
    <xf borderId="21" fillId="13" fontId="20" numFmtId="166" xfId="0" applyAlignment="1" applyBorder="1" applyFont="1" applyNumberFormat="1">
      <alignment shrinkToFit="0" wrapText="1"/>
    </xf>
    <xf borderId="21" fillId="13" fontId="20" numFmtId="167" xfId="0" applyAlignment="1" applyBorder="1" applyFont="1" applyNumberFormat="1">
      <alignment shrinkToFit="0" wrapText="1"/>
    </xf>
    <xf borderId="23" fillId="0" fontId="24" numFmtId="0" xfId="0" applyAlignment="1" applyBorder="1" applyFont="1">
      <alignment shrinkToFit="0" wrapText="1"/>
    </xf>
    <xf borderId="0" fillId="0" fontId="2" numFmtId="167" xfId="0" applyAlignment="1" applyFont="1" applyNumberFormat="1">
      <alignment horizontal="right" readingOrder="0" vertical="bottom"/>
    </xf>
    <xf borderId="23" fillId="0" fontId="21" numFmtId="0" xfId="0" applyAlignment="1" applyBorder="1" applyFont="1">
      <alignment shrinkToFit="0" wrapText="1"/>
    </xf>
    <xf borderId="21" fillId="0" fontId="13" numFmtId="169" xfId="0" applyAlignment="1" applyBorder="1" applyFont="1" applyNumberFormat="1">
      <alignment horizontal="right" readingOrder="0" shrinkToFit="0" wrapText="1"/>
    </xf>
    <xf borderId="21" fillId="0" fontId="23" numFmtId="165" xfId="0" applyAlignment="1" applyBorder="1" applyFont="1" applyNumberFormat="1">
      <alignment horizontal="right" vertical="bottom"/>
    </xf>
    <xf borderId="21" fillId="0" fontId="13" numFmtId="169" xfId="0" applyAlignment="1" applyBorder="1" applyFont="1" applyNumberFormat="1">
      <alignment horizontal="right" shrinkToFit="0" wrapText="1"/>
    </xf>
    <xf borderId="21" fillId="0" fontId="25" numFmtId="165" xfId="0" applyAlignment="1" applyBorder="1" applyFont="1" applyNumberFormat="1">
      <alignment vertical="bottom"/>
    </xf>
    <xf borderId="21" fillId="0" fontId="12" numFmtId="169" xfId="0" applyBorder="1" applyFont="1" applyNumberFormat="1"/>
    <xf borderId="21" fillId="14" fontId="12" numFmtId="167" xfId="0" applyBorder="1" applyFill="1" applyFont="1" applyNumberFormat="1"/>
    <xf borderId="21" fillId="14" fontId="12" numFmtId="169" xfId="0" applyBorder="1" applyFont="1" applyNumberFormat="1"/>
    <xf borderId="21" fillId="14" fontId="12" numFmtId="166" xfId="0" applyBorder="1" applyFont="1" applyNumberFormat="1"/>
    <xf borderId="21" fillId="14" fontId="12" numFmtId="167" xfId="0" applyAlignment="1" applyBorder="1" applyFont="1" applyNumberFormat="1">
      <alignment readingOrder="0"/>
    </xf>
    <xf borderId="21" fillId="0" fontId="12" numFmtId="169" xfId="0" applyAlignment="1" applyBorder="1" applyFont="1" applyNumberFormat="1">
      <alignment readingOrder="0"/>
    </xf>
    <xf borderId="21" fillId="0" fontId="23" numFmtId="165" xfId="0" applyAlignment="1" applyBorder="1" applyFont="1" applyNumberFormat="1">
      <alignment readingOrder="0" vertical="bottom"/>
    </xf>
    <xf borderId="21" fillId="10" fontId="12" numFmtId="167" xfId="0" applyAlignment="1" applyBorder="1" applyFont="1" applyNumberFormat="1">
      <alignment readingOrder="0"/>
    </xf>
    <xf borderId="21" fillId="0" fontId="13" numFmtId="169" xfId="0" applyAlignment="1" applyBorder="1" applyFont="1" applyNumberFormat="1">
      <alignment shrinkToFit="0" wrapText="1"/>
    </xf>
    <xf borderId="0" fillId="0" fontId="12" numFmtId="167" xfId="0" applyFont="1" applyNumberFormat="1"/>
    <xf borderId="0" fillId="0" fontId="13" numFmtId="167" xfId="0" applyFont="1" applyNumberFormat="1"/>
    <xf borderId="21" fillId="0" fontId="23" numFmtId="165" xfId="0" applyAlignment="1" applyBorder="1" applyFont="1" applyNumberFormat="1">
      <alignment horizontal="right" readingOrder="0" vertical="bottom"/>
    </xf>
    <xf borderId="23" fillId="12" fontId="20" numFmtId="0" xfId="0" applyAlignment="1" applyBorder="1" applyFont="1">
      <alignment shrinkToFit="0" wrapText="1"/>
    </xf>
    <xf borderId="21" fillId="12" fontId="15" numFmtId="166" xfId="0" applyBorder="1" applyFont="1" applyNumberFormat="1"/>
    <xf borderId="21" fillId="12" fontId="15" numFmtId="167" xfId="0" applyBorder="1" applyFont="1" applyNumberFormat="1"/>
    <xf borderId="21" fillId="12" fontId="5" numFmtId="167" xfId="0" applyAlignment="1" applyBorder="1" applyFont="1" applyNumberFormat="1">
      <alignment horizontal="right" vertical="bottom"/>
    </xf>
    <xf borderId="0" fillId="0" fontId="13" numFmtId="0" xfId="0" applyAlignment="1" applyFont="1">
      <alignment readingOrder="0"/>
    </xf>
    <xf borderId="23" fillId="0" fontId="2" numFmtId="0" xfId="0" applyBorder="1" applyFont="1"/>
    <xf borderId="21" fillId="0" fontId="2" numFmtId="167" xfId="0" applyAlignment="1" applyBorder="1" applyFont="1" applyNumberFormat="1">
      <alignment vertical="bottom"/>
    </xf>
    <xf borderId="23" fillId="0" fontId="13" numFmtId="0" xfId="0" applyBorder="1" applyFont="1"/>
    <xf borderId="21" fillId="0" fontId="12" numFmtId="10" xfId="0" applyBorder="1" applyFont="1" applyNumberFormat="1"/>
    <xf borderId="21" fillId="0" fontId="2" numFmtId="10" xfId="0" applyAlignment="1" applyBorder="1" applyFont="1" applyNumberFormat="1">
      <alignment horizontal="right" vertical="bottom"/>
    </xf>
    <xf borderId="23" fillId="0" fontId="12" numFmtId="0" xfId="0" applyBorder="1" applyFont="1"/>
    <xf borderId="24" fillId="0" fontId="12" numFmtId="167" xfId="0" applyAlignment="1" applyBorder="1" applyFont="1" applyNumberFormat="1">
      <alignment readingOrder="0"/>
    </xf>
    <xf borderId="24" fillId="0" fontId="12" numFmtId="167" xfId="0" applyBorder="1" applyFont="1" applyNumberFormat="1"/>
    <xf borderId="24" fillId="0" fontId="2" numFmtId="167" xfId="0" applyAlignment="1" applyBorder="1" applyFont="1" applyNumberFormat="1">
      <alignment horizontal="right" readingOrder="0" vertical="bottom"/>
    </xf>
    <xf borderId="0" fillId="0" fontId="15" numFmtId="167" xfId="0" applyFont="1" applyNumberFormat="1"/>
    <xf borderId="25" fillId="0" fontId="15" numFmtId="167" xfId="0" applyBorder="1" applyFont="1" applyNumberFormat="1"/>
    <xf borderId="14" fillId="0" fontId="15" numFmtId="167" xfId="0" applyBorder="1" applyFont="1" applyNumberFormat="1"/>
    <xf borderId="26" fillId="0" fontId="15" numFmtId="167" xfId="0" applyBorder="1" applyFont="1" applyNumberFormat="1"/>
    <xf borderId="25" fillId="0" fontId="5" numFmtId="167" xfId="0" applyAlignment="1" applyBorder="1" applyFont="1" applyNumberFormat="1">
      <alignment horizontal="right" vertical="bottom"/>
    </xf>
    <xf borderId="27" fillId="0" fontId="13" numFmtId="166" xfId="0" applyBorder="1" applyFont="1" applyNumberFormat="1"/>
    <xf borderId="0" fillId="0" fontId="13" numFmtId="166" xfId="0" applyFont="1" applyNumberFormat="1"/>
    <xf borderId="19" fillId="0" fontId="13" numFmtId="166" xfId="0" applyBorder="1" applyFont="1" applyNumberFormat="1"/>
    <xf borderId="27" fillId="0" fontId="2" numFmtId="166" xfId="0" applyAlignment="1" applyBorder="1" applyFont="1" applyNumberFormat="1">
      <alignment horizontal="right" vertical="bottom"/>
    </xf>
    <xf borderId="0" fillId="0" fontId="2" numFmtId="9" xfId="0" applyAlignment="1" applyFont="1" applyNumberFormat="1">
      <alignment readingOrder="0"/>
    </xf>
    <xf borderId="0" fillId="0" fontId="13" numFmtId="10" xfId="0" applyFont="1" applyNumberFormat="1"/>
    <xf borderId="28" fillId="0" fontId="22" numFmtId="10" xfId="0" applyBorder="1" applyFont="1" applyNumberFormat="1"/>
    <xf borderId="15" fillId="0" fontId="22" numFmtId="10" xfId="0" applyBorder="1" applyFont="1" applyNumberFormat="1"/>
    <xf borderId="29" fillId="0" fontId="22" numFmtId="10" xfId="0" applyBorder="1" applyFont="1" applyNumberFormat="1"/>
    <xf borderId="28" fillId="0" fontId="5" numFmtId="10" xfId="0" applyAlignment="1" applyBorder="1" applyFont="1" applyNumberFormat="1">
      <alignment horizontal="right" vertical="bottom"/>
    </xf>
    <xf borderId="0" fillId="0" fontId="2" numFmtId="165" xfId="0" applyFont="1" applyNumberFormat="1"/>
    <xf borderId="0" fillId="0" fontId="2" numFmtId="164" xfId="0" applyFont="1" applyNumberFormat="1"/>
    <xf borderId="0" fillId="0" fontId="13" numFmtId="9" xfId="0" applyFont="1" applyNumberFormat="1"/>
    <xf borderId="0" fillId="0" fontId="2" numFmtId="166" xfId="0" applyFont="1" applyNumberFormat="1"/>
    <xf borderId="0" fillId="0" fontId="2" numFmtId="166" xfId="0" applyAlignment="1" applyFont="1" applyNumberFormat="1">
      <alignment horizontal="right" vertical="bottom"/>
    </xf>
    <xf borderId="0" fillId="0" fontId="14" numFmtId="0" xfId="0" applyAlignment="1" applyFont="1">
      <alignment readingOrder="0"/>
    </xf>
    <xf borderId="0" fillId="0" fontId="14" numFmtId="164" xfId="0" applyFont="1" applyNumberFormat="1"/>
    <xf borderId="0" fillId="0" fontId="14" numFmtId="10" xfId="0" applyAlignment="1" applyFont="1" applyNumberFormat="1">
      <alignment readingOrder="0"/>
    </xf>
    <xf borderId="0" fillId="0" fontId="14" numFmtId="165" xfId="0" applyFont="1" applyNumberFormat="1"/>
    <xf borderId="0" fillId="0" fontId="14" numFmtId="10" xfId="0" applyFont="1" applyNumberFormat="1"/>
    <xf borderId="0" fillId="0" fontId="13" numFmtId="169" xfId="0" applyFont="1" applyNumberFormat="1"/>
    <xf borderId="0" fillId="0" fontId="13" numFmtId="169" xfId="0" applyAlignment="1" applyFont="1" applyNumberFormat="1">
      <alignment horizontal="right" shrinkToFit="0" wrapText="1"/>
    </xf>
    <xf borderId="0" fillId="0" fontId="13" numFmtId="0" xfId="0" applyAlignment="1" applyFont="1">
      <alignment horizontal="right" shrinkToFit="0" wrapText="1"/>
    </xf>
    <xf borderId="0" fillId="0" fontId="13" numFmtId="0" xfId="0" applyAlignment="1" applyFont="1">
      <alignment shrinkToFit="0" wrapText="1"/>
    </xf>
    <xf borderId="0" fillId="0" fontId="2" numFmtId="9" xfId="0" applyFont="1" applyNumberFormat="1"/>
    <xf borderId="30" fillId="15" fontId="2" numFmtId="0" xfId="0" applyAlignment="1" applyBorder="1" applyFill="1" applyFont="1">
      <alignment vertical="bottom"/>
    </xf>
    <xf borderId="30" fillId="15" fontId="3" numFmtId="0" xfId="0" applyAlignment="1" applyBorder="1" applyFont="1">
      <alignment horizontal="center" vertical="bottom"/>
    </xf>
    <xf borderId="30" fillId="7" fontId="4" numFmtId="167" xfId="0" applyAlignment="1" applyBorder="1" applyFont="1" applyNumberFormat="1">
      <alignment horizontal="right" vertical="bottom"/>
    </xf>
    <xf borderId="6" fillId="7" fontId="4" numFmtId="167" xfId="0" applyAlignment="1" applyBorder="1" applyFont="1" applyNumberFormat="1">
      <alignment horizontal="right" vertical="bottom"/>
    </xf>
    <xf borderId="11" fillId="0" fontId="2" numFmtId="167" xfId="0" applyAlignment="1" applyBorder="1" applyFont="1" applyNumberFormat="1">
      <alignment vertical="bottom"/>
    </xf>
    <xf borderId="11" fillId="0" fontId="2" numFmtId="167" xfId="0" applyAlignment="1" applyBorder="1" applyFont="1" applyNumberFormat="1">
      <alignment horizontal="right" vertical="bottom"/>
    </xf>
    <xf borderId="25" fillId="0" fontId="2" numFmtId="167" xfId="0" applyAlignment="1" applyBorder="1" applyFont="1" applyNumberFormat="1">
      <alignment vertical="bottom"/>
    </xf>
    <xf borderId="14" fillId="0" fontId="2" numFmtId="167" xfId="0" applyAlignment="1" applyBorder="1" applyFont="1" applyNumberFormat="1">
      <alignment vertical="bottom"/>
    </xf>
    <xf borderId="26" fillId="0" fontId="2" numFmtId="167" xfId="0" applyAlignment="1" applyBorder="1" applyFont="1" applyNumberFormat="1">
      <alignment vertical="bottom"/>
    </xf>
    <xf borderId="27" fillId="0" fontId="2" numFmtId="0" xfId="0" applyAlignment="1" applyBorder="1" applyFont="1">
      <alignment vertical="bottom"/>
    </xf>
    <xf borderId="19" fillId="0" fontId="2" numFmtId="0" xfId="0" applyAlignment="1" applyBorder="1" applyFont="1">
      <alignment vertical="bottom"/>
    </xf>
    <xf borderId="27" fillId="0" fontId="2" numFmtId="164" xfId="0" applyAlignment="1" applyBorder="1" applyFont="1" applyNumberFormat="1">
      <alignment vertical="bottom"/>
    </xf>
    <xf borderId="19" fillId="0" fontId="2" numFmtId="164" xfId="0" applyAlignment="1" applyBorder="1" applyFont="1" applyNumberFormat="1">
      <alignment vertical="bottom"/>
    </xf>
    <xf borderId="28" fillId="0" fontId="2" numFmtId="164" xfId="0" applyAlignment="1" applyBorder="1" applyFont="1" applyNumberFormat="1">
      <alignment vertical="bottom"/>
    </xf>
    <xf borderId="29" fillId="0" fontId="2" numFmtId="164" xfId="0" applyAlignment="1" applyBorder="1" applyFont="1" applyNumberFormat="1">
      <alignment vertical="bottom"/>
    </xf>
    <xf borderId="0" fillId="0" fontId="2" numFmtId="170" xfId="0" applyAlignment="1" applyFont="1" applyNumberFormat="1">
      <alignment vertical="bottom"/>
    </xf>
    <xf borderId="15" fillId="0" fontId="5" numFmtId="0" xfId="0" applyAlignment="1" applyBorder="1" applyFont="1">
      <alignment vertical="bottom"/>
    </xf>
    <xf borderId="15" fillId="0" fontId="5" numFmtId="164" xfId="0" applyAlignment="1" applyBorder="1" applyFont="1" applyNumberFormat="1">
      <alignment horizontal="center" vertical="bottom"/>
    </xf>
    <xf borderId="21" fillId="0" fontId="5" numFmtId="0" xfId="0" applyAlignment="1" applyBorder="1" applyFont="1">
      <alignment vertical="bottom"/>
    </xf>
    <xf borderId="21" fillId="0" fontId="2" numFmtId="0" xfId="0" applyAlignment="1" applyBorder="1" applyFont="1">
      <alignment vertical="bottom"/>
    </xf>
    <xf borderId="21" fillId="0" fontId="2" numFmtId="171" xfId="0" applyAlignment="1" applyBorder="1" applyFont="1" applyNumberFormat="1">
      <alignment horizontal="center" vertical="bottom"/>
    </xf>
    <xf borderId="2" fillId="16" fontId="2" numFmtId="0" xfId="0" applyAlignment="1" applyBorder="1" applyFill="1" applyFont="1">
      <alignment vertical="bottom"/>
    </xf>
    <xf borderId="2" fillId="16" fontId="2" numFmtId="164" xfId="0" applyAlignment="1" applyBorder="1" applyFont="1" applyNumberFormat="1">
      <alignment vertical="bottom"/>
    </xf>
    <xf borderId="2" fillId="16" fontId="13" numFmtId="0" xfId="0" applyBorder="1" applyFont="1"/>
    <xf borderId="30" fillId="16" fontId="2" numFmtId="0" xfId="0" applyAlignment="1" applyBorder="1" applyFont="1">
      <alignment vertical="bottom"/>
    </xf>
    <xf borderId="30" fillId="16" fontId="2" numFmtId="164" xfId="0" applyAlignment="1" applyBorder="1" applyFont="1" applyNumberFormat="1">
      <alignment vertical="bottom"/>
    </xf>
    <xf borderId="21" fillId="0" fontId="2" numFmtId="171" xfId="0" applyAlignment="1" applyBorder="1" applyFont="1" applyNumberFormat="1">
      <alignment horizontal="right" vertical="bottom"/>
    </xf>
    <xf borderId="15" fillId="0" fontId="2" numFmtId="164" xfId="0" applyAlignment="1" applyBorder="1" applyFont="1" applyNumberFormat="1">
      <alignment horizontal="right" vertical="bottom"/>
    </xf>
    <xf borderId="0" fillId="0" fontId="26" numFmtId="0" xfId="0" applyFont="1"/>
    <xf borderId="0" fillId="0" fontId="12" numFmtId="17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H9xKicACo-tjzsJ6nKguvScZ54Qu_mIA/view?usp=sharing" TargetMode="External"/><Relationship Id="rId2" Type="http://schemas.openxmlformats.org/officeDocument/2006/relationships/hyperlink" Target="https://drive.google.com/drive/folders/1jWgb4Fkx1SU5dp6Fhr7LeENwy1rJJwLm?usp=drive_link" TargetMode="External"/><Relationship Id="rId3" Type="http://schemas.openxmlformats.org/officeDocument/2006/relationships/hyperlink" Target="https://qbo.intuit.com/app/journal?txnId=346" TargetMode="External"/><Relationship Id="rId4" Type="http://schemas.openxmlformats.org/officeDocument/2006/relationships/hyperlink" Target="https://qbo.intuit.com/app/journal?txnId=345" TargetMode="External"/><Relationship Id="rId5" Type="http://schemas.openxmlformats.org/officeDocument/2006/relationships/hyperlink" Target="https://qbo.intuit.com/app/journal?txnId=117" TargetMode="External"/><Relationship Id="rId6" Type="http://schemas.openxmlformats.org/officeDocument/2006/relationships/hyperlink" Target="https://qbo.intuit.com/app/expense?txnId=339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25.38"/>
    <col customWidth="1" min="3" max="4" width="12.5"/>
    <col customWidth="1" min="5" max="5" width="1.88"/>
    <col customWidth="1" min="6" max="6" width="35.63"/>
    <col customWidth="1" min="7" max="7" width="15.5"/>
    <col customWidth="1" min="8" max="8" width="15.25"/>
    <col customWidth="1" min="9" max="9" width="14.5"/>
    <col customWidth="1" min="10" max="10" width="15.25"/>
    <col customWidth="1" min="11" max="12" width="12.5"/>
    <col customWidth="1" min="13" max="13" width="42.25"/>
    <col customWidth="1" min="14" max="14" width="13.75"/>
    <col customWidth="1" min="15" max="26" width="12.5"/>
  </cols>
  <sheetData>
    <row r="1" ht="9.75" customHeight="1"/>
    <row r="2" ht="21.0" customHeight="1">
      <c r="B2" s="1" t="s">
        <v>0</v>
      </c>
      <c r="C2" s="2"/>
      <c r="D2" s="2"/>
      <c r="E2" s="3"/>
      <c r="F2" s="1" t="s">
        <v>1</v>
      </c>
      <c r="G2" s="2"/>
      <c r="H2" s="2"/>
      <c r="I2" s="2"/>
      <c r="J2" s="2"/>
    </row>
    <row r="3" ht="15.75" customHeight="1">
      <c r="B3" s="3"/>
      <c r="C3" s="3"/>
      <c r="D3" s="3"/>
      <c r="E3" s="3"/>
      <c r="F3" s="3"/>
      <c r="G3" s="3"/>
      <c r="H3" s="3"/>
      <c r="I3" s="3"/>
      <c r="J3" s="3"/>
    </row>
    <row r="4" ht="15.75" customHeight="1">
      <c r="B4" s="4" t="s">
        <v>2</v>
      </c>
      <c r="C4" s="5" t="s">
        <v>3</v>
      </c>
      <c r="D4" s="6"/>
      <c r="E4" s="3"/>
      <c r="F4" s="5" t="s">
        <v>4</v>
      </c>
      <c r="G4" s="7" t="s">
        <v>5</v>
      </c>
      <c r="H4" s="8" t="s">
        <v>6</v>
      </c>
      <c r="I4" s="9" t="s">
        <v>7</v>
      </c>
      <c r="J4" s="10" t="s">
        <v>8</v>
      </c>
    </row>
    <row r="5" ht="15.75" customHeight="1">
      <c r="B5" s="3" t="s">
        <v>9</v>
      </c>
      <c r="C5" s="11">
        <f>'Sources and Uses'!D5</f>
        <v>6500000</v>
      </c>
      <c r="D5" s="12"/>
      <c r="E5" s="3"/>
      <c r="F5" s="13" t="s">
        <v>10</v>
      </c>
      <c r="G5" s="14" t="str">
        <f t="shared" ref="G5:H5" si="1">H5</f>
        <v/>
      </c>
      <c r="H5" s="15" t="str">
        <f t="shared" si="1"/>
        <v/>
      </c>
      <c r="I5" s="16" t="str">
        <f>Proforma!I5</f>
        <v/>
      </c>
      <c r="J5" s="17" t="str">
        <f>I5</f>
        <v/>
      </c>
    </row>
    <row r="6" ht="15.75" customHeight="1">
      <c r="B6" s="3" t="str">
        <f>'Sources and Uses'!B9</f>
        <v>Total Debt</v>
      </c>
      <c r="C6" s="11">
        <f>'Sources and Uses'!D9</f>
        <v>4550000</v>
      </c>
      <c r="D6" s="12"/>
      <c r="E6" s="3"/>
      <c r="F6" s="3" t="s">
        <v>11</v>
      </c>
      <c r="G6" s="18">
        <f t="shared" ref="G6:H6" si="2">H6*1.05</f>
        <v>0</v>
      </c>
      <c r="H6" s="18">
        <f t="shared" si="2"/>
        <v>0</v>
      </c>
      <c r="I6" s="19" t="str">
        <f>Proforma!I6</f>
        <v/>
      </c>
      <c r="J6" s="18">
        <f>-J5*0.1</f>
        <v>0</v>
      </c>
    </row>
    <row r="7" ht="15.75" customHeight="1">
      <c r="B7" s="3" t="s">
        <v>12</v>
      </c>
      <c r="C7" s="11">
        <f>'Sources and Uses'!D23</f>
        <v>461500</v>
      </c>
      <c r="D7" s="12"/>
      <c r="E7" s="3"/>
      <c r="F7" s="3" t="s">
        <v>13</v>
      </c>
      <c r="G7" s="20"/>
      <c r="H7" s="20"/>
      <c r="I7" s="21"/>
      <c r="J7" s="20"/>
    </row>
    <row r="8" ht="15.75" customHeight="1">
      <c r="B8" s="3" t="s">
        <v>14</v>
      </c>
      <c r="C8" s="11">
        <f>'Sources and Uses'!G20</f>
        <v>2541500</v>
      </c>
      <c r="D8" s="12"/>
      <c r="E8" s="3"/>
      <c r="F8" s="3" t="s">
        <v>15</v>
      </c>
      <c r="G8" s="18">
        <f t="shared" ref="G8:H8" si="3">G7+G6+G5</f>
        <v>0</v>
      </c>
      <c r="H8" s="18">
        <f t="shared" si="3"/>
        <v>0</v>
      </c>
      <c r="I8" s="19">
        <f>Proforma!I12</f>
        <v>1462597.868</v>
      </c>
      <c r="J8" s="22">
        <f>J7+J6+J5</f>
        <v>0</v>
      </c>
    </row>
    <row r="9" ht="15.75" customHeight="1">
      <c r="B9" s="3" t="s">
        <v>16</v>
      </c>
      <c r="C9" s="11">
        <f>'Sources and Uses'!G19</f>
        <v>130000</v>
      </c>
      <c r="D9" s="12"/>
      <c r="E9" s="3"/>
      <c r="F9" s="3" t="s">
        <v>17</v>
      </c>
      <c r="G9" s="18">
        <f t="shared" ref="G9:H9" si="4">H9</f>
        <v>804185</v>
      </c>
      <c r="H9" s="18">
        <f t="shared" si="4"/>
        <v>804185</v>
      </c>
      <c r="I9" s="19">
        <f>Proforma!I46</f>
        <v>804185</v>
      </c>
      <c r="J9" s="22">
        <f>I9*0.9</f>
        <v>723766.5</v>
      </c>
    </row>
    <row r="10" ht="15.75" customHeight="1">
      <c r="B10" s="23" t="s">
        <v>18</v>
      </c>
      <c r="C10" s="24">
        <f>C5+C7+C9</f>
        <v>7091500</v>
      </c>
      <c r="D10" s="25"/>
      <c r="E10" s="3"/>
      <c r="F10" s="3" t="s">
        <v>19</v>
      </c>
      <c r="G10" s="18">
        <f t="shared" ref="G10:H10" si="5">H10</f>
        <v>29251.95736</v>
      </c>
      <c r="H10" s="18">
        <f t="shared" si="5"/>
        <v>29251.95736</v>
      </c>
      <c r="I10" s="19">
        <f>Proforma!I54</f>
        <v>29251.95736</v>
      </c>
      <c r="J10" s="22">
        <f t="shared" ref="J10:J12" si="7">I10</f>
        <v>29251.95736</v>
      </c>
    </row>
    <row r="11" ht="15.75" customHeight="1">
      <c r="B11" s="3"/>
      <c r="C11" s="3"/>
      <c r="D11" s="3"/>
      <c r="E11" s="3"/>
      <c r="F11" s="3" t="s">
        <v>20</v>
      </c>
      <c r="G11" s="18">
        <f t="shared" ref="G11:H11" si="6">H11</f>
        <v>14625.97868</v>
      </c>
      <c r="H11" s="18">
        <f t="shared" si="6"/>
        <v>14625.97868</v>
      </c>
      <c r="I11" s="19">
        <f>Proforma!I53</f>
        <v>14625.97868</v>
      </c>
      <c r="J11" s="22">
        <f t="shared" si="7"/>
        <v>14625.97868</v>
      </c>
    </row>
    <row r="12" ht="15.75" customHeight="1">
      <c r="B12" s="4" t="s">
        <v>21</v>
      </c>
      <c r="C12" s="5" t="s">
        <v>22</v>
      </c>
      <c r="D12" s="5" t="s">
        <v>23</v>
      </c>
      <c r="E12" s="3"/>
      <c r="F12" s="3" t="s">
        <v>24</v>
      </c>
      <c r="G12" s="18">
        <f t="shared" ref="G12:H12" si="8">H12</f>
        <v>20000</v>
      </c>
      <c r="H12" s="18">
        <f t="shared" si="8"/>
        <v>20000</v>
      </c>
      <c r="I12" s="19">
        <f>Proforma!I51</f>
        <v>20000</v>
      </c>
      <c r="J12" s="22">
        <f t="shared" si="7"/>
        <v>20000</v>
      </c>
    </row>
    <row r="13" ht="15.75" customHeight="1">
      <c r="B13" s="3" t="s">
        <v>25</v>
      </c>
      <c r="C13" s="22">
        <f>C8</f>
        <v>2541500</v>
      </c>
      <c r="D13" s="26">
        <f>C13/C15</f>
        <v>0.3583868011</v>
      </c>
      <c r="E13" s="3"/>
      <c r="F13" s="27" t="s">
        <v>26</v>
      </c>
      <c r="G13" s="28">
        <f t="shared" ref="G13:J13" si="9">G8-G9-G10-G11-G12</f>
        <v>-868062.936</v>
      </c>
      <c r="H13" s="29">
        <f t="shared" si="9"/>
        <v>-868062.936</v>
      </c>
      <c r="I13" s="30">
        <f t="shared" si="9"/>
        <v>594534.9319</v>
      </c>
      <c r="J13" s="22">
        <f t="shared" si="9"/>
        <v>-787644.436</v>
      </c>
    </row>
    <row r="14" ht="15.75" customHeight="1">
      <c r="B14" s="3" t="s">
        <v>27</v>
      </c>
      <c r="C14" s="22">
        <f>C6</f>
        <v>4550000</v>
      </c>
      <c r="D14" s="26">
        <f>C14/C15</f>
        <v>0.6416131989</v>
      </c>
      <c r="E14" s="3"/>
      <c r="F14" s="3"/>
      <c r="G14" s="31"/>
      <c r="H14" s="31"/>
      <c r="I14" s="32"/>
      <c r="J14" s="31"/>
    </row>
    <row r="15" ht="15.75" customHeight="1">
      <c r="B15" s="33" t="s">
        <v>28</v>
      </c>
      <c r="C15" s="34">
        <f>C14+C13</f>
        <v>7091500</v>
      </c>
      <c r="D15" s="35">
        <f>SUM(D13:D14)</f>
        <v>1</v>
      </c>
      <c r="E15" s="3"/>
      <c r="F15" s="36" t="s">
        <v>29</v>
      </c>
      <c r="G15" s="37">
        <f>'Sources and Uses'!$J$9</f>
        <v>370370.8072</v>
      </c>
      <c r="H15" s="38">
        <f>'Sources and Uses'!$J$9</f>
        <v>370370.8072</v>
      </c>
      <c r="I15" s="39">
        <f>'Sources and Uses'!$J$9</f>
        <v>370370.8072</v>
      </c>
      <c r="J15" s="40">
        <f>'Sources and Uses'!$J$9</f>
        <v>370370.8072</v>
      </c>
    </row>
    <row r="16" ht="15.75" customHeight="1">
      <c r="B16" s="3"/>
      <c r="C16" s="3"/>
      <c r="D16" s="3"/>
      <c r="E16" s="3"/>
      <c r="F16" s="41" t="s">
        <v>30</v>
      </c>
      <c r="G16" s="42">
        <f t="shared" ref="G16:J16" si="10">G13-G15</f>
        <v>-1238433.743</v>
      </c>
      <c r="H16" s="42">
        <f t="shared" si="10"/>
        <v>-1238433.743</v>
      </c>
      <c r="I16" s="43">
        <f t="shared" si="10"/>
        <v>224164.1247</v>
      </c>
      <c r="J16" s="42">
        <f t="shared" si="10"/>
        <v>-1158015.243</v>
      </c>
    </row>
    <row r="17" ht="15.75" customHeight="1">
      <c r="B17" s="4" t="s">
        <v>21</v>
      </c>
      <c r="C17" s="6"/>
      <c r="D17" s="44" t="s">
        <v>23</v>
      </c>
      <c r="E17" s="3"/>
      <c r="F17" s="27" t="s">
        <v>31</v>
      </c>
      <c r="G17" s="28">
        <f t="shared" ref="G17:H17" si="11">H17</f>
        <v>203320</v>
      </c>
      <c r="H17" s="28">
        <f t="shared" si="11"/>
        <v>203320</v>
      </c>
      <c r="I17" s="30">
        <f>D18*'Sources and Uses'!D13</f>
        <v>203320</v>
      </c>
      <c r="J17" s="28">
        <f>I17</f>
        <v>203320</v>
      </c>
    </row>
    <row r="18" ht="15.75" customHeight="1">
      <c r="B18" s="3" t="s">
        <v>31</v>
      </c>
      <c r="C18" s="20"/>
      <c r="D18" s="45">
        <v>0.08</v>
      </c>
      <c r="E18" s="3"/>
      <c r="F18" s="27" t="s">
        <v>32</v>
      </c>
      <c r="G18" s="31" t="str">
        <f t="shared" ref="G18:J18" si="12">if((G16-G17)&gt;0,G16-G17,"") </f>
        <v/>
      </c>
      <c r="H18" s="46" t="str">
        <f t="shared" si="12"/>
        <v/>
      </c>
      <c r="I18" s="30">
        <f t="shared" si="12"/>
        <v>20844.12465</v>
      </c>
      <c r="J18" s="28" t="str">
        <f t="shared" si="12"/>
        <v/>
      </c>
    </row>
    <row r="19" ht="15.75" customHeight="1">
      <c r="B19" s="47" t="s">
        <v>33</v>
      </c>
      <c r="C19" s="48" t="str">
        <f>C11</f>
        <v/>
      </c>
      <c r="D19" s="49">
        <v>0.5</v>
      </c>
      <c r="E19" s="3"/>
      <c r="F19" s="27" t="s">
        <v>34</v>
      </c>
      <c r="G19" s="28">
        <f t="shared" ref="G19:J19" si="13">G18/2</f>
        <v>0</v>
      </c>
      <c r="H19" s="29">
        <f t="shared" si="13"/>
        <v>0</v>
      </c>
      <c r="I19" s="30">
        <f t="shared" si="13"/>
        <v>10422.06233</v>
      </c>
      <c r="J19" s="28">
        <f t="shared" si="13"/>
        <v>0</v>
      </c>
    </row>
    <row r="20" ht="15.75" customHeight="1">
      <c r="B20" s="3"/>
      <c r="C20" s="3"/>
      <c r="D20" s="3"/>
      <c r="E20" s="3"/>
      <c r="F20" s="3" t="s">
        <v>35</v>
      </c>
      <c r="G20" s="28">
        <f t="shared" ref="G20:J20" si="14">G19</f>
        <v>0</v>
      </c>
      <c r="H20" s="29">
        <f t="shared" si="14"/>
        <v>0</v>
      </c>
      <c r="I20" s="30">
        <f t="shared" si="14"/>
        <v>10422.06233</v>
      </c>
      <c r="J20" s="28">
        <f t="shared" si="14"/>
        <v>0</v>
      </c>
    </row>
    <row r="21" ht="15.75" customHeight="1">
      <c r="B21" s="3"/>
      <c r="C21" s="3"/>
      <c r="D21" s="3"/>
      <c r="E21" s="3"/>
      <c r="F21" s="27" t="s">
        <v>36</v>
      </c>
      <c r="G21" s="28">
        <f t="shared" ref="G21:J21" si="15">if((G16-G17)&gt;0,G19+G17,G16)</f>
        <v>-1238433.743</v>
      </c>
      <c r="H21" s="29">
        <f t="shared" si="15"/>
        <v>-1238433.743</v>
      </c>
      <c r="I21" s="30">
        <f t="shared" si="15"/>
        <v>213742.0623</v>
      </c>
      <c r="J21" s="28">
        <f t="shared" si="15"/>
        <v>-1158015.243</v>
      </c>
    </row>
    <row r="22" ht="15.75" customHeight="1">
      <c r="B22" s="3"/>
      <c r="C22" s="50"/>
      <c r="D22" s="50"/>
      <c r="E22" s="3"/>
      <c r="F22" s="51" t="s">
        <v>37</v>
      </c>
      <c r="G22" s="52">
        <f>G21/'Sources and Uses'!$D$13</f>
        <v>-0.4872845734</v>
      </c>
      <c r="H22" s="52">
        <f>H21/'Sources and Uses'!$D$13</f>
        <v>-0.4872845734</v>
      </c>
      <c r="I22" s="53">
        <f>I21/'Sources and Uses'!$D$13</f>
        <v>0.08410075244</v>
      </c>
      <c r="J22" s="54">
        <f>J21/'Sources and Uses'!$D$13</f>
        <v>-0.4556424329</v>
      </c>
    </row>
    <row r="23" ht="15.75" customHeight="1">
      <c r="B23" s="3"/>
      <c r="C23" s="50"/>
      <c r="D23" s="50"/>
      <c r="E23" s="3"/>
      <c r="F23" s="51" t="s">
        <v>38</v>
      </c>
      <c r="G23" s="52">
        <f t="shared" ref="G23:H23" si="16">H23</f>
        <v>0.02933609852</v>
      </c>
      <c r="H23" s="52">
        <f t="shared" si="16"/>
        <v>0.02933609852</v>
      </c>
      <c r="I23" s="53">
        <f>-'Sources and Uses'!M8/'Sources and Uses'!D13</f>
        <v>0.02933609852</v>
      </c>
      <c r="J23" s="55">
        <f>I23</f>
        <v>0.02933609852</v>
      </c>
    </row>
    <row r="24" ht="15.75" customHeight="1">
      <c r="B24" s="3"/>
      <c r="C24" s="50"/>
      <c r="D24" s="50"/>
      <c r="E24" s="3"/>
      <c r="F24" s="51" t="s">
        <v>39</v>
      </c>
      <c r="G24" s="52">
        <f t="shared" ref="G24:J24" si="17">G23+G22</f>
        <v>-0.4579484749</v>
      </c>
      <c r="H24" s="52">
        <f t="shared" si="17"/>
        <v>-0.4579484749</v>
      </c>
      <c r="I24" s="56">
        <f t="shared" si="17"/>
        <v>0.113436851</v>
      </c>
      <c r="J24" s="54">
        <f t="shared" si="17"/>
        <v>-0.4263063344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</sheetData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33.13"/>
    <col customWidth="1" min="3" max="3" width="11.63"/>
    <col customWidth="1" min="4" max="4" width="12.5"/>
    <col customWidth="1" min="5" max="5" width="2.88"/>
    <col customWidth="1" min="6" max="6" width="30.38"/>
    <col customWidth="1" min="7" max="8" width="12.5"/>
    <col customWidth="1" min="9" max="9" width="20.25"/>
    <col customWidth="1" min="10" max="10" width="14.5"/>
    <col customWidth="1" min="11" max="11" width="4.63"/>
    <col customWidth="1" min="12" max="12" width="19.38"/>
    <col customWidth="1" min="13" max="18" width="12.5"/>
  </cols>
  <sheetData>
    <row r="1" ht="15.75" customHeight="1"/>
    <row r="2" ht="15.75" customHeight="1">
      <c r="B2" s="57" t="s">
        <v>40</v>
      </c>
      <c r="C2" s="57"/>
      <c r="D2" s="57"/>
      <c r="E2" s="57"/>
      <c r="F2" s="57"/>
      <c r="G2" s="57"/>
    </row>
    <row r="3" ht="15.75" customHeight="1"/>
    <row r="4" ht="15.75" customHeight="1">
      <c r="B4" s="58" t="s">
        <v>41</v>
      </c>
      <c r="C4" s="59"/>
      <c r="D4" s="59"/>
      <c r="F4" s="60" t="s">
        <v>42</v>
      </c>
      <c r="G4" s="60" t="s">
        <v>43</v>
      </c>
      <c r="H4" s="60" t="s">
        <v>44</v>
      </c>
      <c r="I4" s="60" t="s">
        <v>45</v>
      </c>
      <c r="J4" s="60" t="s">
        <v>46</v>
      </c>
      <c r="K4" s="3"/>
      <c r="L4" s="61" t="s">
        <v>47</v>
      </c>
      <c r="M4" s="62" t="s">
        <v>48</v>
      </c>
      <c r="N4" s="62" t="s">
        <v>49</v>
      </c>
      <c r="O4" s="62" t="s">
        <v>50</v>
      </c>
      <c r="P4" s="62" t="s">
        <v>51</v>
      </c>
      <c r="Q4" s="62" t="s">
        <v>52</v>
      </c>
    </row>
    <row r="5" ht="15.75" customHeight="1">
      <c r="B5" s="63" t="s">
        <v>53</v>
      </c>
      <c r="C5" s="63"/>
      <c r="D5" s="64">
        <v>6500000.0</v>
      </c>
      <c r="F5" s="65" t="s">
        <v>54</v>
      </c>
      <c r="G5" s="66">
        <f t="shared" ref="G5:G7" si="1">D6</f>
        <v>4550000</v>
      </c>
      <c r="H5" s="67">
        <v>0.0655</v>
      </c>
      <c r="I5" s="68">
        <v>25.0</v>
      </c>
      <c r="J5" s="69">
        <f>PMT(H5/12,I5*12,-G5,0,0)</f>
        <v>30864.23393</v>
      </c>
      <c r="K5" s="12"/>
      <c r="L5" s="12"/>
      <c r="M5" s="70">
        <f t="shared" ref="M5:M7" si="2">iferror(CUMPRINC(H5/12,I5*12,G5,1,12,0),"")</f>
        <v>-74557.69438</v>
      </c>
      <c r="N5" s="70">
        <f t="shared" ref="N5:N7" si="3">iferror(CUMPRINC(H5/12,I5*12,G5,13,24,0),"")</f>
        <v>-79590.53146</v>
      </c>
      <c r="O5" s="70">
        <f t="shared" ref="O5:O7" si="4">iferror(CUMPRINC(H5/12,I5*12,G5,25,36,0),"")</f>
        <v>-84963.09806</v>
      </c>
      <c r="P5" s="70">
        <f t="shared" ref="P5:P7" si="5">iferror(CUMPRINC(H5/12,I5*12,G5,37,48,0),"")</f>
        <v>-90698.32678</v>
      </c>
      <c r="Q5" s="70">
        <f t="shared" ref="Q5:Q7" si="6">iferror(CUMPRINC(H5/12,I5*12,G5,49,60,0),"")</f>
        <v>-96820.69827</v>
      </c>
    </row>
    <row r="6" ht="15.75" customHeight="1">
      <c r="B6" s="63" t="s">
        <v>55</v>
      </c>
      <c r="C6" s="71">
        <v>0.7</v>
      </c>
      <c r="D6" s="72">
        <f>C6*D5</f>
        <v>4550000</v>
      </c>
      <c r="F6" s="73" t="s">
        <v>56</v>
      </c>
      <c r="G6" s="74">
        <f t="shared" si="1"/>
        <v>0</v>
      </c>
      <c r="H6" s="75">
        <v>0.05</v>
      </c>
      <c r="I6" s="76">
        <v>25.0</v>
      </c>
      <c r="J6" s="77">
        <f t="shared" ref="J6:J7" si="7">PMT(H6/12,I6*12,-G6,0,1)</f>
        <v>0</v>
      </c>
      <c r="K6" s="12"/>
      <c r="L6" s="12"/>
      <c r="M6" s="78" t="str">
        <f t="shared" si="2"/>
        <v/>
      </c>
      <c r="N6" s="78" t="str">
        <f t="shared" si="3"/>
        <v/>
      </c>
      <c r="O6" s="78" t="str">
        <f t="shared" si="4"/>
        <v/>
      </c>
      <c r="P6" s="78" t="str">
        <f t="shared" si="5"/>
        <v/>
      </c>
      <c r="Q6" s="78" t="str">
        <f t="shared" si="6"/>
        <v/>
      </c>
    </row>
    <row r="7" ht="15.75" customHeight="1">
      <c r="B7" s="63" t="s">
        <v>57</v>
      </c>
      <c r="C7" s="71">
        <v>0.0</v>
      </c>
      <c r="D7" s="72">
        <f>C7*D5</f>
        <v>0</v>
      </c>
      <c r="F7" s="79" t="s">
        <v>58</v>
      </c>
      <c r="G7" s="74">
        <f t="shared" si="1"/>
        <v>0</v>
      </c>
      <c r="H7" s="80">
        <v>0.05</v>
      </c>
      <c r="I7" s="81">
        <v>25.0</v>
      </c>
      <c r="J7" s="77">
        <f t="shared" si="7"/>
        <v>0</v>
      </c>
      <c r="K7" s="12"/>
      <c r="L7" s="12"/>
      <c r="M7" s="12" t="str">
        <f t="shared" si="2"/>
        <v/>
      </c>
      <c r="N7" s="12" t="str">
        <f t="shared" si="3"/>
        <v/>
      </c>
      <c r="O7" s="12" t="str">
        <f t="shared" si="4"/>
        <v/>
      </c>
      <c r="P7" s="12" t="str">
        <f t="shared" si="5"/>
        <v/>
      </c>
      <c r="Q7" s="12" t="str">
        <f t="shared" si="6"/>
        <v/>
      </c>
    </row>
    <row r="8" ht="15.75" customHeight="1">
      <c r="B8" s="63" t="s">
        <v>59</v>
      </c>
      <c r="C8" s="82">
        <v>0.0</v>
      </c>
      <c r="D8" s="72">
        <f>C8*D5</f>
        <v>0</v>
      </c>
      <c r="F8" s="65" t="s">
        <v>21</v>
      </c>
      <c r="G8" s="83">
        <f>G6+G5+G7</f>
        <v>4550000</v>
      </c>
      <c r="I8" s="68" t="s">
        <v>60</v>
      </c>
      <c r="J8" s="69">
        <f>J6+J5+J7</f>
        <v>30864.23393</v>
      </c>
      <c r="K8" s="3"/>
      <c r="L8" s="78" t="s">
        <v>61</v>
      </c>
      <c r="M8" s="70">
        <f t="shared" ref="M8:Q8" si="8">sum(M5:M7)</f>
        <v>-74557.69438</v>
      </c>
      <c r="N8" s="70">
        <f t="shared" si="8"/>
        <v>-79590.53146</v>
      </c>
      <c r="O8" s="70">
        <f t="shared" si="8"/>
        <v>-84963.09806</v>
      </c>
      <c r="P8" s="70">
        <f t="shared" si="8"/>
        <v>-90698.32678</v>
      </c>
      <c r="Q8" s="70">
        <f t="shared" si="8"/>
        <v>-96820.69827</v>
      </c>
    </row>
    <row r="9" ht="15.75" customHeight="1">
      <c r="B9" s="63" t="s">
        <v>62</v>
      </c>
      <c r="C9" s="63"/>
      <c r="D9" s="72">
        <f>D8+D7+D6</f>
        <v>4550000</v>
      </c>
      <c r="I9" s="68" t="s">
        <v>63</v>
      </c>
      <c r="J9" s="69">
        <f>J8*12</f>
        <v>370370.8072</v>
      </c>
      <c r="K9" s="3"/>
      <c r="L9" s="20" t="s">
        <v>64</v>
      </c>
      <c r="M9" s="22">
        <f>G8+M8</f>
        <v>4475442.306</v>
      </c>
      <c r="N9" s="84">
        <f t="shared" ref="N9:Q9" si="9">N8+M9</f>
        <v>4395851.774</v>
      </c>
      <c r="O9" s="84">
        <f t="shared" si="9"/>
        <v>4310888.676</v>
      </c>
      <c r="P9" s="84">
        <f t="shared" si="9"/>
        <v>4220190.349</v>
      </c>
      <c r="Q9" s="84">
        <f t="shared" si="9"/>
        <v>4123369.651</v>
      </c>
    </row>
    <row r="10" ht="15.75" customHeight="1">
      <c r="B10" s="63" t="s">
        <v>65</v>
      </c>
      <c r="C10" s="63"/>
      <c r="D10" s="72">
        <f>D5-D6-D7-D8</f>
        <v>1950000</v>
      </c>
      <c r="F10" s="79" t="s">
        <v>66</v>
      </c>
      <c r="G10" s="64">
        <v>0.0</v>
      </c>
      <c r="K10" s="79"/>
      <c r="L10" s="85"/>
    </row>
    <row r="11" ht="15.75" customHeight="1">
      <c r="B11" s="63" t="s">
        <v>16</v>
      </c>
      <c r="C11" s="86">
        <v>0.02</v>
      </c>
      <c r="D11" s="72">
        <f>D5*C11</f>
        <v>130000</v>
      </c>
      <c r="F11" s="65"/>
      <c r="G11" s="87">
        <f>Proforma!I56</f>
        <v>0.08820150488</v>
      </c>
      <c r="I11" s="68"/>
      <c r="J11" s="69"/>
      <c r="L11" s="85"/>
    </row>
    <row r="12" ht="15.75" customHeight="1">
      <c r="B12" s="63" t="s">
        <v>67</v>
      </c>
      <c r="C12" s="63"/>
      <c r="D12" s="72">
        <f>D23</f>
        <v>461500</v>
      </c>
      <c r="F12" s="65"/>
      <c r="G12" s="83"/>
      <c r="I12" s="68"/>
      <c r="J12" s="69"/>
    </row>
    <row r="13" ht="15.75" customHeight="1">
      <c r="B13" s="63" t="s">
        <v>14</v>
      </c>
      <c r="C13" s="63"/>
      <c r="D13" s="72">
        <f>D12+D11+D10</f>
        <v>2541500</v>
      </c>
      <c r="F13" s="65"/>
      <c r="G13" s="83"/>
      <c r="I13" s="68"/>
      <c r="J13" s="69">
        <f>415000/680000</f>
        <v>0.6102941176</v>
      </c>
    </row>
    <row r="14" ht="15.75" customHeight="1">
      <c r="B14" s="63" t="s">
        <v>68</v>
      </c>
      <c r="C14" s="63"/>
      <c r="D14" s="72">
        <f>D13+D9</f>
        <v>7091500</v>
      </c>
      <c r="J14" s="88">
        <f>680000/415000</f>
        <v>1.638554217</v>
      </c>
    </row>
    <row r="15" ht="15.75" customHeight="1"/>
    <row r="16" ht="15.75" customHeight="1">
      <c r="B16" s="58" t="s">
        <v>67</v>
      </c>
      <c r="C16" s="59"/>
      <c r="D16" s="59"/>
      <c r="F16" s="58" t="s">
        <v>40</v>
      </c>
      <c r="G16" s="59"/>
    </row>
    <row r="17" ht="15.75" customHeight="1">
      <c r="B17" s="68" t="s">
        <v>69</v>
      </c>
      <c r="C17" s="86">
        <v>0.02</v>
      </c>
      <c r="D17" s="83">
        <f>C17*D9</f>
        <v>91000</v>
      </c>
      <c r="F17" s="68" t="s">
        <v>70</v>
      </c>
      <c r="G17" s="83">
        <f>D10</f>
        <v>1950000</v>
      </c>
    </row>
    <row r="18" ht="15.75" customHeight="1">
      <c r="B18" s="68" t="s">
        <v>71</v>
      </c>
      <c r="C18" s="89">
        <v>0.01</v>
      </c>
      <c r="D18" s="83">
        <f>C18*D9</f>
        <v>45500</v>
      </c>
      <c r="F18" s="68" t="s">
        <v>67</v>
      </c>
      <c r="G18" s="83">
        <f>D23</f>
        <v>461500</v>
      </c>
    </row>
    <row r="19" ht="15.75" customHeight="1">
      <c r="B19" s="68" t="s">
        <v>72</v>
      </c>
      <c r="C19" s="89">
        <v>0.03</v>
      </c>
      <c r="D19" s="83">
        <f>C19*D5</f>
        <v>195000</v>
      </c>
      <c r="F19" s="68" t="s">
        <v>16</v>
      </c>
      <c r="G19" s="83">
        <f>D11</f>
        <v>130000</v>
      </c>
    </row>
    <row r="20" ht="15.75" customHeight="1">
      <c r="B20" s="68" t="s">
        <v>73</v>
      </c>
      <c r="C20" s="89">
        <v>0.01</v>
      </c>
      <c r="D20" s="83">
        <f>C20*D5</f>
        <v>65000</v>
      </c>
      <c r="F20" s="90" t="s">
        <v>74</v>
      </c>
      <c r="G20" s="91">
        <f>SUM(G17:G19)</f>
        <v>2541500</v>
      </c>
    </row>
    <row r="21" ht="15.75" customHeight="1">
      <c r="B21" s="68" t="s">
        <v>75</v>
      </c>
      <c r="C21" s="89">
        <v>0.01</v>
      </c>
      <c r="D21" s="83">
        <f>C21*D5</f>
        <v>65000</v>
      </c>
      <c r="G21" s="83"/>
      <c r="O21" s="92">
        <f>Proforma!I12</f>
        <v>1462597.868</v>
      </c>
    </row>
    <row r="22" ht="1.5" customHeight="1">
      <c r="B22" s="68"/>
      <c r="C22" s="68"/>
      <c r="D22" s="83"/>
      <c r="G22" s="83"/>
    </row>
    <row r="23" ht="15.75" customHeight="1">
      <c r="B23" s="90" t="s">
        <v>74</v>
      </c>
      <c r="C23" s="90"/>
      <c r="D23" s="91">
        <f>SUM(D17:D22)</f>
        <v>461500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>
      <c r="B49" s="93"/>
      <c r="C49" s="93"/>
      <c r="D49" s="93"/>
      <c r="E49" s="93"/>
      <c r="F49" s="93"/>
      <c r="G49" s="94" t="s">
        <v>76</v>
      </c>
      <c r="H49" s="94" t="s">
        <v>77</v>
      </c>
      <c r="I49" s="93"/>
      <c r="J49" s="93" t="s">
        <v>78</v>
      </c>
    </row>
    <row r="50" ht="15.75" customHeight="1">
      <c r="B50" s="95" t="s">
        <v>79</v>
      </c>
      <c r="C50" s="93"/>
      <c r="D50" s="93"/>
      <c r="E50" s="93"/>
      <c r="F50" s="96" t="s">
        <v>80</v>
      </c>
      <c r="G50" s="96" t="s">
        <v>80</v>
      </c>
      <c r="H50" s="96" t="s">
        <v>25</v>
      </c>
      <c r="I50" s="96" t="s">
        <v>81</v>
      </c>
      <c r="J50" s="96" t="s">
        <v>82</v>
      </c>
    </row>
    <row r="51" ht="15.75" customHeight="1">
      <c r="B51" s="97" t="s">
        <v>83</v>
      </c>
      <c r="C51" s="97" t="s">
        <v>84</v>
      </c>
      <c r="D51" s="97" t="s">
        <v>85</v>
      </c>
      <c r="E51" s="93"/>
      <c r="F51" s="98" t="s">
        <v>86</v>
      </c>
      <c r="G51" s="99">
        <v>0.796</v>
      </c>
      <c r="H51" s="100">
        <f t="shared" ref="H51:H54" si="10">G51*$G$20</f>
        <v>2023034</v>
      </c>
      <c r="I51" s="101">
        <f>G72</f>
        <v>1794224.65</v>
      </c>
      <c r="J51" s="102">
        <f>H51-I51</f>
        <v>228809.35</v>
      </c>
    </row>
    <row r="52" ht="15.75" customHeight="1">
      <c r="B52" s="93" t="s">
        <v>87</v>
      </c>
      <c r="C52" s="22">
        <f>D19</f>
        <v>195000</v>
      </c>
      <c r="D52" s="93"/>
      <c r="E52" s="93"/>
      <c r="F52" s="98" t="s">
        <v>88</v>
      </c>
      <c r="G52" s="99">
        <v>0.1673</v>
      </c>
      <c r="H52" s="100">
        <f t="shared" si="10"/>
        <v>425192.95</v>
      </c>
      <c r="I52" s="93"/>
      <c r="J52" s="93"/>
    </row>
    <row r="53" ht="15.75" customHeight="1">
      <c r="B53" s="96" t="s">
        <v>89</v>
      </c>
      <c r="C53" s="96"/>
      <c r="D53" s="103">
        <f>C52</f>
        <v>195000</v>
      </c>
      <c r="E53" s="93"/>
      <c r="F53" s="98" t="s">
        <v>90</v>
      </c>
      <c r="G53" s="99">
        <v>0.0367</v>
      </c>
      <c r="H53" s="100">
        <f t="shared" si="10"/>
        <v>93273.05</v>
      </c>
      <c r="I53" s="93"/>
      <c r="J53" s="93"/>
    </row>
    <row r="54" ht="15.75" customHeight="1">
      <c r="B54" s="93" t="s">
        <v>21</v>
      </c>
      <c r="C54" s="22">
        <f t="shared" ref="C54:D54" si="11">C53+C52</f>
        <v>195000</v>
      </c>
      <c r="D54" s="104">
        <f t="shared" si="11"/>
        <v>195000</v>
      </c>
      <c r="E54" s="93"/>
      <c r="F54" s="96"/>
      <c r="G54" s="105"/>
      <c r="H54" s="106">
        <f t="shared" si="10"/>
        <v>0</v>
      </c>
      <c r="I54" s="93"/>
      <c r="J54" s="93"/>
    </row>
    <row r="55" ht="15.75" customHeight="1">
      <c r="B55" s="93"/>
      <c r="C55" s="93"/>
      <c r="D55" s="93"/>
      <c r="E55" s="93"/>
      <c r="F55" s="93" t="s">
        <v>21</v>
      </c>
      <c r="G55" s="107">
        <f t="shared" ref="G55:H55" si="12">sum(G51:G54)</f>
        <v>1</v>
      </c>
      <c r="H55" s="100">
        <f t="shared" si="12"/>
        <v>2541500</v>
      </c>
      <c r="I55" s="93"/>
      <c r="J55" s="93"/>
    </row>
    <row r="56" ht="15.75" customHeight="1">
      <c r="B56" s="108" t="s">
        <v>91</v>
      </c>
      <c r="C56" s="97"/>
      <c r="D56" s="97"/>
      <c r="E56" s="93"/>
      <c r="F56" s="93"/>
      <c r="G56" s="93"/>
      <c r="H56" s="93"/>
      <c r="I56" s="93"/>
      <c r="J56" s="93"/>
    </row>
    <row r="57" ht="15.75" customHeight="1">
      <c r="B57" s="93" t="s">
        <v>83</v>
      </c>
      <c r="C57" s="93" t="s">
        <v>84</v>
      </c>
      <c r="D57" s="93" t="s">
        <v>85</v>
      </c>
      <c r="E57" s="93"/>
      <c r="F57" s="93"/>
      <c r="G57" s="93"/>
      <c r="H57" s="93"/>
      <c r="I57" s="93"/>
      <c r="J57" s="93"/>
    </row>
    <row r="58" ht="15.75" customHeight="1">
      <c r="B58" s="93" t="s">
        <v>92</v>
      </c>
      <c r="C58" s="109">
        <f>6500000-C59</f>
        <v>5663000</v>
      </c>
      <c r="D58" s="110"/>
      <c r="E58" s="93"/>
      <c r="F58" s="93"/>
      <c r="G58" s="93"/>
      <c r="H58" s="93"/>
      <c r="I58" s="93"/>
      <c r="J58" s="93"/>
    </row>
    <row r="59" ht="15.75" customHeight="1">
      <c r="B59" s="98" t="s">
        <v>93</v>
      </c>
      <c r="C59" s="111">
        <v>837000.0</v>
      </c>
      <c r="D59" s="101"/>
      <c r="E59" s="93"/>
      <c r="F59" s="93"/>
      <c r="G59" s="93"/>
      <c r="H59" s="93"/>
      <c r="I59" s="93"/>
      <c r="J59" s="93"/>
    </row>
    <row r="60" ht="15.75" customHeight="1">
      <c r="B60" s="93" t="s">
        <v>94</v>
      </c>
      <c r="C60" s="110"/>
      <c r="D60" s="101">
        <v>4522000.0</v>
      </c>
      <c r="E60" s="93"/>
      <c r="F60" s="93"/>
      <c r="G60" s="93"/>
      <c r="H60" s="93"/>
      <c r="I60" s="93"/>
      <c r="J60" s="93"/>
    </row>
    <row r="61" ht="15.75" customHeight="1">
      <c r="B61" s="93" t="s">
        <v>95</v>
      </c>
      <c r="C61" s="110"/>
      <c r="D61" s="101">
        <v>20000.0</v>
      </c>
      <c r="E61" s="93"/>
      <c r="F61" s="93"/>
      <c r="G61" s="93"/>
      <c r="H61" s="93"/>
      <c r="I61" s="93"/>
      <c r="J61" s="93"/>
    </row>
    <row r="62" ht="15.75" customHeight="1">
      <c r="B62" s="98" t="s">
        <v>96</v>
      </c>
      <c r="C62" s="110"/>
      <c r="D62" s="101">
        <v>425225.0</v>
      </c>
      <c r="E62" s="93"/>
      <c r="F62" s="93"/>
      <c r="G62" s="93"/>
      <c r="H62" s="93"/>
      <c r="I62" s="93"/>
      <c r="J62" s="93"/>
    </row>
    <row r="63" ht="15.75" customHeight="1">
      <c r="B63" s="98" t="s">
        <v>97</v>
      </c>
      <c r="C63" s="110"/>
      <c r="D63" s="101">
        <v>92791.0</v>
      </c>
      <c r="E63" s="93"/>
      <c r="F63" s="93"/>
      <c r="G63" s="93"/>
      <c r="H63" s="93"/>
      <c r="I63" s="93"/>
      <c r="J63" s="93"/>
    </row>
    <row r="64" ht="15.75" customHeight="1">
      <c r="B64" s="98" t="s">
        <v>95</v>
      </c>
      <c r="C64" s="110"/>
      <c r="D64" s="101">
        <v>1503225.65</v>
      </c>
      <c r="E64" s="93"/>
      <c r="F64" s="93">
        <f>1189683.44+305737.71</f>
        <v>1495421.15</v>
      </c>
      <c r="G64" s="93"/>
      <c r="H64" s="93"/>
      <c r="I64" s="93"/>
      <c r="J64" s="93"/>
    </row>
    <row r="65" ht="15.75" customHeight="1">
      <c r="B65" s="98" t="s">
        <v>98</v>
      </c>
      <c r="C65" s="101">
        <v>999.0</v>
      </c>
      <c r="D65" s="110"/>
      <c r="E65" s="93"/>
      <c r="F65" s="93"/>
      <c r="G65" s="93"/>
      <c r="H65" s="93"/>
      <c r="I65" s="93"/>
      <c r="J65" s="93"/>
    </row>
    <row r="66" ht="15.75" customHeight="1">
      <c r="B66" s="98" t="s">
        <v>99</v>
      </c>
      <c r="C66" s="100"/>
      <c r="D66" s="111">
        <v>999.0</v>
      </c>
      <c r="E66" s="93"/>
      <c r="F66" s="93"/>
      <c r="G66" s="93"/>
      <c r="H66" s="93"/>
      <c r="I66" s="93"/>
      <c r="J66" s="93"/>
    </row>
    <row r="67" ht="15.75" customHeight="1">
      <c r="B67" s="96" t="s">
        <v>75</v>
      </c>
      <c r="C67" s="106">
        <f>3238.17+5400+900+45220+811.48+15+55+607+225+35+6070+450+50+165</f>
        <v>63241.65</v>
      </c>
      <c r="D67" s="112"/>
      <c r="E67" s="93"/>
      <c r="F67" s="93"/>
      <c r="G67" s="93"/>
      <c r="H67" s="93"/>
      <c r="I67" s="93"/>
      <c r="J67" s="93"/>
    </row>
    <row r="68" ht="15.75" customHeight="1">
      <c r="B68" s="93" t="s">
        <v>21</v>
      </c>
      <c r="C68" s="100">
        <f t="shared" ref="C68:D68" si="13">sum(C58:C67)</f>
        <v>6564240.65</v>
      </c>
      <c r="D68" s="100">
        <f t="shared" si="13"/>
        <v>6564240.65</v>
      </c>
      <c r="E68" s="93"/>
      <c r="F68" s="93"/>
      <c r="G68" s="93"/>
      <c r="H68" s="93"/>
      <c r="I68" s="93"/>
      <c r="J68" s="93"/>
    </row>
    <row r="69" ht="15.75" customHeight="1">
      <c r="B69" s="93"/>
      <c r="C69" s="93"/>
      <c r="D69" s="93"/>
      <c r="E69" s="93"/>
      <c r="F69" s="93"/>
      <c r="G69" s="93"/>
      <c r="H69" s="93"/>
      <c r="I69" s="93"/>
      <c r="J69" s="93"/>
    </row>
    <row r="70" ht="15.75" customHeight="1">
      <c r="B70" s="113" t="s">
        <v>100</v>
      </c>
      <c r="C70" s="93"/>
      <c r="D70" s="93"/>
      <c r="E70" s="93"/>
      <c r="F70" s="93"/>
      <c r="G70" s="93"/>
      <c r="H70" s="93"/>
      <c r="I70" s="93"/>
      <c r="J70" s="93"/>
    </row>
    <row r="71" ht="15.75" customHeight="1">
      <c r="B71" s="97" t="s">
        <v>83</v>
      </c>
      <c r="C71" s="97" t="s">
        <v>84</v>
      </c>
      <c r="D71" s="97" t="s">
        <v>85</v>
      </c>
      <c r="E71" s="93"/>
      <c r="F71" s="96" t="s">
        <v>101</v>
      </c>
      <c r="G71" s="114">
        <v>46048.0</v>
      </c>
      <c r="H71" s="96"/>
      <c r="I71" s="93"/>
      <c r="J71" s="93"/>
    </row>
    <row r="72" ht="15.75" customHeight="1">
      <c r="B72" s="93" t="s">
        <v>102</v>
      </c>
      <c r="C72" s="110" t="str">
        <f>D37</f>
        <v/>
      </c>
      <c r="D72" s="101">
        <v>195000.0</v>
      </c>
      <c r="E72" s="93"/>
      <c r="F72" s="93" t="s">
        <v>103</v>
      </c>
      <c r="G72" s="115">
        <v>1794224.65</v>
      </c>
      <c r="H72" s="93"/>
      <c r="I72" s="93"/>
      <c r="J72" s="93"/>
    </row>
    <row r="73" ht="15.75" customHeight="1">
      <c r="B73" s="96" t="s">
        <v>104</v>
      </c>
      <c r="C73" s="116">
        <v>195000.0</v>
      </c>
      <c r="D73" s="112"/>
      <c r="E73" s="93"/>
      <c r="F73" s="93" t="s">
        <v>105</v>
      </c>
      <c r="G73" s="115">
        <v>1711420.15</v>
      </c>
      <c r="H73" s="93"/>
      <c r="I73" s="93"/>
      <c r="J73" s="93"/>
    </row>
    <row r="74" ht="15.75" customHeight="1">
      <c r="B74" s="93" t="s">
        <v>21</v>
      </c>
      <c r="C74" s="100">
        <f t="shared" ref="C74:D74" si="14">C73+C72</f>
        <v>195000</v>
      </c>
      <c r="D74" s="100">
        <f t="shared" si="14"/>
        <v>195000</v>
      </c>
      <c r="E74" s="93"/>
      <c r="F74" s="93"/>
      <c r="G74" s="93"/>
      <c r="H74" s="93"/>
      <c r="I74" s="93"/>
      <c r="J74" s="93"/>
    </row>
    <row r="75" ht="15.75" customHeight="1">
      <c r="B75" s="93"/>
      <c r="C75" s="93"/>
      <c r="D75" s="93"/>
      <c r="E75" s="93"/>
      <c r="F75" s="93"/>
      <c r="G75" s="93"/>
      <c r="H75" s="93"/>
      <c r="I75" s="93"/>
      <c r="J75" s="93"/>
    </row>
    <row r="76" ht="15.75" customHeight="1">
      <c r="B76" s="95" t="s">
        <v>106</v>
      </c>
      <c r="C76" s="93"/>
      <c r="D76" s="93"/>
      <c r="E76" s="93"/>
      <c r="F76" s="93"/>
      <c r="G76" s="93"/>
      <c r="H76" s="93"/>
      <c r="I76" s="93"/>
      <c r="J76" s="93"/>
    </row>
    <row r="77" ht="15.75" customHeight="1">
      <c r="B77" s="93" t="s">
        <v>107</v>
      </c>
      <c r="C77" s="117">
        <v>45683.0</v>
      </c>
      <c r="D77" s="101">
        <v>45220.0</v>
      </c>
    </row>
    <row r="78" ht="15.75" customHeight="1"/>
    <row r="79" ht="15.75" customHeight="1">
      <c r="B79" s="118" t="s">
        <v>108</v>
      </c>
      <c r="C79" s="119">
        <v>5991.42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B4:D4"/>
    <mergeCell ref="B16:D16"/>
    <mergeCell ref="F16:G16"/>
  </mergeCells>
  <hyperlinks>
    <hyperlink r:id="rId1" ref="G49"/>
    <hyperlink r:id="rId2" ref="H49"/>
    <hyperlink r:id="rId3" ref="B50"/>
    <hyperlink r:id="rId4" ref="B56"/>
    <hyperlink r:id="rId5" ref="B70"/>
    <hyperlink r:id="rId6" ref="B76"/>
  </hyperlinks>
  <printOptions/>
  <pageMargins bottom="0.0" footer="0.0" header="0.0" left="0.0" right="0.0" top="0.0"/>
  <pageSetup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 fitToPage="1"/>
  </sheetPr>
  <sheetViews>
    <sheetView showGridLines="0"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0"/>
  <cols>
    <col customWidth="1" min="1" max="2" width="1.88"/>
    <col customWidth="1" min="3" max="3" width="42.25"/>
    <col customWidth="1" min="4" max="7" width="12.5"/>
    <col customWidth="1" min="8" max="8" width="14.88"/>
    <col customWidth="1" min="9" max="13" width="12.25"/>
    <col customWidth="1" min="14" max="14" width="12.5"/>
    <col customWidth="1" min="15" max="15" width="18.75"/>
    <col customWidth="1" min="16" max="26" width="12.5"/>
  </cols>
  <sheetData>
    <row r="1" ht="9.75" customHeight="1"/>
    <row r="2" ht="15.75" customHeight="1">
      <c r="C2" s="57" t="s">
        <v>109</v>
      </c>
      <c r="D2" s="120"/>
      <c r="E2" s="120"/>
      <c r="F2" s="120"/>
      <c r="G2" s="120"/>
      <c r="H2" s="120"/>
      <c r="I2" s="120"/>
      <c r="J2" s="120"/>
      <c r="K2" s="120"/>
      <c r="L2" s="120"/>
      <c r="M2" s="120"/>
    </row>
    <row r="3" ht="15.75" customHeight="1">
      <c r="C3" s="121"/>
    </row>
    <row r="4" ht="26.25" customHeight="1">
      <c r="C4" s="122" t="s">
        <v>110</v>
      </c>
      <c r="D4" s="123">
        <v>2022.0</v>
      </c>
      <c r="E4" s="123">
        <v>2023.0</v>
      </c>
      <c r="F4" s="123">
        <v>2024.0</v>
      </c>
      <c r="G4" s="124" t="s">
        <v>111</v>
      </c>
      <c r="H4" s="123" t="s">
        <v>112</v>
      </c>
      <c r="I4" s="123" t="s">
        <v>113</v>
      </c>
      <c r="J4" s="123" t="s">
        <v>114</v>
      </c>
      <c r="K4" s="123" t="s">
        <v>115</v>
      </c>
      <c r="L4" s="123" t="s">
        <v>116</v>
      </c>
      <c r="M4" s="123" t="s">
        <v>117</v>
      </c>
    </row>
    <row r="5" ht="15.75" customHeight="1">
      <c r="C5" s="125" t="s">
        <v>118</v>
      </c>
      <c r="D5" s="126"/>
      <c r="E5" s="126"/>
      <c r="F5" s="126"/>
      <c r="G5" s="126"/>
      <c r="H5" s="126"/>
      <c r="I5" s="126"/>
      <c r="J5" s="126"/>
      <c r="K5" s="126"/>
      <c r="L5" s="126"/>
      <c r="M5" s="126"/>
    </row>
    <row r="6" ht="15.75" customHeight="1">
      <c r="C6" s="125" t="s">
        <v>11</v>
      </c>
      <c r="D6" s="126"/>
      <c r="E6" s="126"/>
      <c r="F6" s="126"/>
      <c r="G6" s="126"/>
      <c r="H6" s="126"/>
      <c r="I6" s="126"/>
      <c r="J6" s="126"/>
      <c r="K6" s="126"/>
      <c r="L6" s="126"/>
      <c r="M6" s="126"/>
    </row>
    <row r="7" ht="15.75" customHeight="1">
      <c r="A7" s="127"/>
      <c r="B7" s="127"/>
      <c r="C7" s="128" t="s">
        <v>119</v>
      </c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 ht="15.75" customHeight="1">
      <c r="A8" s="127"/>
      <c r="B8" s="127"/>
      <c r="C8" s="130" t="s">
        <v>120</v>
      </c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 ht="15.75" customHeight="1">
      <c r="A9" s="127"/>
      <c r="B9" s="127"/>
      <c r="C9" s="130" t="s">
        <v>13</v>
      </c>
      <c r="D9" s="131"/>
      <c r="E9" s="131"/>
      <c r="F9" s="131"/>
      <c r="G9" s="131"/>
      <c r="H9" s="131"/>
      <c r="I9" s="132"/>
      <c r="J9" s="131"/>
      <c r="K9" s="131"/>
      <c r="L9" s="131"/>
      <c r="M9" s="131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 ht="15.75" customHeight="1">
      <c r="A10" s="127"/>
      <c r="B10" s="127"/>
      <c r="C10" s="130" t="s">
        <v>121</v>
      </c>
      <c r="D10" s="133">
        <v>1192301.82</v>
      </c>
      <c r="E10" s="133">
        <v>1362380.84</v>
      </c>
      <c r="F10" s="134">
        <v>1419997.93</v>
      </c>
      <c r="G10" s="135">
        <v>591056.02</v>
      </c>
      <c r="H10" s="131">
        <f>(G10/5)*12</f>
        <v>1418534.448</v>
      </c>
      <c r="I10" s="131">
        <f>F10*1.03</f>
        <v>1462597.868</v>
      </c>
      <c r="J10" s="131">
        <f t="shared" ref="J10:M10" si="1">I10*1.03</f>
        <v>1506475.804</v>
      </c>
      <c r="K10" s="131">
        <f t="shared" si="1"/>
        <v>1551670.078</v>
      </c>
      <c r="L10" s="131">
        <f t="shared" si="1"/>
        <v>1598220.18</v>
      </c>
      <c r="M10" s="131">
        <f t="shared" si="1"/>
        <v>1646166.786</v>
      </c>
      <c r="N10" s="100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ht="15.75" customHeight="1">
      <c r="A11" s="127"/>
      <c r="B11" s="127"/>
      <c r="C11" s="130" t="s">
        <v>122</v>
      </c>
      <c r="D11" s="131"/>
      <c r="E11" s="131"/>
      <c r="F11" s="131"/>
      <c r="G11" s="136"/>
      <c r="H11" s="131"/>
      <c r="I11" s="131"/>
      <c r="J11" s="131"/>
      <c r="K11" s="131"/>
      <c r="L11" s="131"/>
      <c r="M11" s="131"/>
      <c r="N11" s="111">
        <f>N12-I12</f>
        <v>-47185.8679</v>
      </c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 ht="15.75" customHeight="1">
      <c r="A12" s="127"/>
      <c r="B12" s="127"/>
      <c r="C12" s="128" t="s">
        <v>123</v>
      </c>
      <c r="D12" s="137">
        <f t="shared" ref="D12:M12" si="2">SUM(D8:D11)</f>
        <v>1192301.82</v>
      </c>
      <c r="E12" s="137">
        <f t="shared" si="2"/>
        <v>1362380.84</v>
      </c>
      <c r="F12" s="137">
        <f t="shared" si="2"/>
        <v>1419997.93</v>
      </c>
      <c r="G12" s="137">
        <f t="shared" si="2"/>
        <v>591056.02</v>
      </c>
      <c r="H12" s="138">
        <f t="shared" si="2"/>
        <v>1418534.448</v>
      </c>
      <c r="I12" s="138">
        <f t="shared" si="2"/>
        <v>1462597.868</v>
      </c>
      <c r="J12" s="138">
        <f t="shared" si="2"/>
        <v>1506475.804</v>
      </c>
      <c r="K12" s="138">
        <f t="shared" si="2"/>
        <v>1551670.078</v>
      </c>
      <c r="L12" s="138">
        <f t="shared" si="2"/>
        <v>1598220.18</v>
      </c>
      <c r="M12" s="138">
        <f t="shared" si="2"/>
        <v>1646166.786</v>
      </c>
      <c r="N12" s="100">
        <f>N13*12</f>
        <v>1415412</v>
      </c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 ht="15.75" customHeight="1">
      <c r="A13" s="127"/>
      <c r="B13" s="127"/>
      <c r="C13" s="139"/>
      <c r="D13" s="131"/>
      <c r="E13" s="131"/>
      <c r="F13" s="131"/>
      <c r="G13" s="131"/>
      <c r="H13" s="131"/>
      <c r="I13" s="131">
        <f>I12/12</f>
        <v>121883.1557</v>
      </c>
      <c r="J13" s="131"/>
      <c r="K13" s="131"/>
      <c r="L13" s="131"/>
      <c r="M13" s="131"/>
      <c r="N13" s="140">
        <v>117951.0</v>
      </c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 ht="15.75" customHeight="1">
      <c r="A14" s="127"/>
      <c r="B14" s="127"/>
      <c r="C14" s="128" t="s">
        <v>17</v>
      </c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00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 ht="15.75" customHeight="1">
      <c r="A15" s="127"/>
      <c r="B15" s="127"/>
      <c r="C15" s="141" t="s">
        <v>124</v>
      </c>
      <c r="D15" s="135">
        <v>15460.04</v>
      </c>
      <c r="E15" s="142">
        <v>26572.43</v>
      </c>
      <c r="F15" s="143">
        <v>19885.46</v>
      </c>
      <c r="G15" s="135">
        <v>11621.81</v>
      </c>
      <c r="H15" s="131">
        <f t="shared" ref="H15:H17" si="4">(G15/5)*12</f>
        <v>27892.344</v>
      </c>
      <c r="I15" s="132">
        <v>6000.0</v>
      </c>
      <c r="J15" s="131">
        <f t="shared" ref="J15:M15" si="3">I15*1.03</f>
        <v>6180</v>
      </c>
      <c r="K15" s="131">
        <f t="shared" si="3"/>
        <v>6365.4</v>
      </c>
      <c r="L15" s="131">
        <f t="shared" si="3"/>
        <v>6556.362</v>
      </c>
      <c r="M15" s="131">
        <f t="shared" si="3"/>
        <v>6753.05286</v>
      </c>
      <c r="N15" s="3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 ht="15.75" customHeight="1">
      <c r="A16" s="127"/>
      <c r="B16" s="127"/>
      <c r="C16" s="141" t="s">
        <v>125</v>
      </c>
      <c r="D16" s="135">
        <v>4574.69</v>
      </c>
      <c r="E16" s="142">
        <v>1840.1</v>
      </c>
      <c r="F16" s="143">
        <v>756.99</v>
      </c>
      <c r="G16" s="135">
        <v>552.81</v>
      </c>
      <c r="H16" s="131">
        <f t="shared" si="4"/>
        <v>1326.744</v>
      </c>
      <c r="I16" s="132">
        <v>1000.0</v>
      </c>
      <c r="J16" s="131">
        <f t="shared" ref="J16:M16" si="5">I16*1.03</f>
        <v>1030</v>
      </c>
      <c r="K16" s="131">
        <f t="shared" si="5"/>
        <v>1060.9</v>
      </c>
      <c r="L16" s="131">
        <f t="shared" si="5"/>
        <v>1092.727</v>
      </c>
      <c r="M16" s="131">
        <f t="shared" si="5"/>
        <v>1125.50881</v>
      </c>
      <c r="N16" s="3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 ht="15.75" customHeight="1">
      <c r="A17" s="127"/>
      <c r="B17" s="127"/>
      <c r="C17" s="141" t="s">
        <v>126</v>
      </c>
      <c r="D17" s="135">
        <v>12.0</v>
      </c>
      <c r="E17" s="142">
        <v>35.0</v>
      </c>
      <c r="F17" s="143">
        <v>114.0</v>
      </c>
      <c r="G17" s="135">
        <v>47.5</v>
      </c>
      <c r="H17" s="131">
        <f t="shared" si="4"/>
        <v>114</v>
      </c>
      <c r="I17" s="132">
        <v>150.0</v>
      </c>
      <c r="J17" s="131">
        <f t="shared" ref="J17:M17" si="6">I17*1.03</f>
        <v>154.5</v>
      </c>
      <c r="K17" s="131">
        <f t="shared" si="6"/>
        <v>159.135</v>
      </c>
      <c r="L17" s="131">
        <f t="shared" si="6"/>
        <v>163.90905</v>
      </c>
      <c r="M17" s="131">
        <f t="shared" si="6"/>
        <v>168.8263215</v>
      </c>
      <c r="N17" s="3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 ht="15.75" customHeight="1">
      <c r="A18" s="127"/>
      <c r="B18" s="127"/>
      <c r="C18" s="141" t="s">
        <v>127</v>
      </c>
      <c r="D18" s="135"/>
      <c r="E18" s="144"/>
      <c r="F18" s="145"/>
      <c r="G18" s="136"/>
      <c r="H18" s="131"/>
      <c r="I18" s="131"/>
      <c r="J18" s="131">
        <f t="shared" ref="J18:M18" si="7">I18*1.03</f>
        <v>0</v>
      </c>
      <c r="K18" s="131">
        <f t="shared" si="7"/>
        <v>0</v>
      </c>
      <c r="L18" s="131">
        <f t="shared" si="7"/>
        <v>0</v>
      </c>
      <c r="M18" s="131">
        <f t="shared" si="7"/>
        <v>0</v>
      </c>
      <c r="N18" s="3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 ht="15.75" customHeight="1">
      <c r="A19" s="127"/>
      <c r="B19" s="127"/>
      <c r="C19" s="141" t="s">
        <v>128</v>
      </c>
      <c r="D19" s="135"/>
      <c r="E19" s="144"/>
      <c r="F19" s="145"/>
      <c r="G19" s="136"/>
      <c r="H19" s="131"/>
      <c r="I19" s="131"/>
      <c r="J19" s="131">
        <f t="shared" ref="J19:M19" si="8">I19*1.03</f>
        <v>0</v>
      </c>
      <c r="K19" s="131">
        <f t="shared" si="8"/>
        <v>0</v>
      </c>
      <c r="L19" s="131">
        <f t="shared" si="8"/>
        <v>0</v>
      </c>
      <c r="M19" s="131">
        <f t="shared" si="8"/>
        <v>0</v>
      </c>
      <c r="N19" s="3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 ht="15.75" customHeight="1">
      <c r="A20" s="127"/>
      <c r="B20" s="127"/>
      <c r="C20" s="141" t="s">
        <v>129</v>
      </c>
      <c r="D20" s="135"/>
      <c r="E20" s="146"/>
      <c r="F20" s="145"/>
      <c r="G20" s="136"/>
      <c r="H20" s="131"/>
      <c r="I20" s="131"/>
      <c r="J20" s="131">
        <f t="shared" ref="J20:M20" si="9">I20*1.03</f>
        <v>0</v>
      </c>
      <c r="K20" s="131">
        <f t="shared" si="9"/>
        <v>0</v>
      </c>
      <c r="L20" s="131">
        <f t="shared" si="9"/>
        <v>0</v>
      </c>
      <c r="M20" s="131">
        <f t="shared" si="9"/>
        <v>0</v>
      </c>
      <c r="N20" s="3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 ht="15.75" customHeight="1">
      <c r="A21" s="127"/>
      <c r="B21" s="127"/>
      <c r="C21" s="141" t="s">
        <v>130</v>
      </c>
      <c r="D21" s="135"/>
      <c r="E21" s="144"/>
      <c r="F21" s="145"/>
      <c r="G21" s="136"/>
      <c r="H21" s="131"/>
      <c r="I21" s="131"/>
      <c r="J21" s="131">
        <f t="shared" ref="J21:M21" si="10">I21*1.03</f>
        <v>0</v>
      </c>
      <c r="K21" s="131">
        <f t="shared" si="10"/>
        <v>0</v>
      </c>
      <c r="L21" s="131">
        <f t="shared" si="10"/>
        <v>0</v>
      </c>
      <c r="M21" s="131">
        <f t="shared" si="10"/>
        <v>0</v>
      </c>
      <c r="N21" s="3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 ht="15.75" customHeight="1">
      <c r="A22" s="127"/>
      <c r="B22" s="127"/>
      <c r="C22" s="141" t="s">
        <v>131</v>
      </c>
      <c r="D22" s="147"/>
      <c r="E22" s="148"/>
      <c r="F22" s="145"/>
      <c r="G22" s="149"/>
      <c r="H22" s="131"/>
      <c r="I22" s="150">
        <v>32500.0</v>
      </c>
      <c r="J22" s="131">
        <f t="shared" ref="J22:M22" si="11">I22*1.03</f>
        <v>33475</v>
      </c>
      <c r="K22" s="131">
        <f t="shared" si="11"/>
        <v>34479.25</v>
      </c>
      <c r="L22" s="131">
        <f t="shared" si="11"/>
        <v>35513.6275</v>
      </c>
      <c r="M22" s="131">
        <f t="shared" si="11"/>
        <v>36579.03633</v>
      </c>
      <c r="N22" s="3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 ht="15.75" customHeight="1">
      <c r="A23" s="127"/>
      <c r="B23" s="127"/>
      <c r="C23" s="141" t="s">
        <v>132</v>
      </c>
      <c r="D23" s="135">
        <v>501391.38</v>
      </c>
      <c r="E23" s="151">
        <v>541536.51</v>
      </c>
      <c r="F23" s="143">
        <v>538511.73</v>
      </c>
      <c r="G23" s="135">
        <v>205391.66</v>
      </c>
      <c r="H23" s="131">
        <f>(G23/5)*12</f>
        <v>492939.984</v>
      </c>
      <c r="I23" s="150">
        <v>505280.0</v>
      </c>
      <c r="J23" s="131">
        <f t="shared" ref="J23:M23" si="12">I23*1.03</f>
        <v>520438.4</v>
      </c>
      <c r="K23" s="131">
        <f t="shared" si="12"/>
        <v>536051.552</v>
      </c>
      <c r="L23" s="131">
        <f t="shared" si="12"/>
        <v>552133.0986</v>
      </c>
      <c r="M23" s="131">
        <f t="shared" si="12"/>
        <v>568697.0915</v>
      </c>
      <c r="N23" s="3">
        <f>I23/12</f>
        <v>42106.66667</v>
      </c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 ht="15.75" customHeight="1">
      <c r="A24" s="127"/>
      <c r="B24" s="127"/>
      <c r="C24" s="141" t="s">
        <v>133</v>
      </c>
      <c r="D24" s="135"/>
      <c r="E24" s="146"/>
      <c r="F24" s="145"/>
      <c r="G24" s="136"/>
      <c r="H24" s="131"/>
      <c r="I24" s="131"/>
      <c r="J24" s="131">
        <f t="shared" ref="J24:M24" si="13">I24*1.03</f>
        <v>0</v>
      </c>
      <c r="K24" s="131">
        <f t="shared" si="13"/>
        <v>0</v>
      </c>
      <c r="L24" s="131">
        <f t="shared" si="13"/>
        <v>0</v>
      </c>
      <c r="M24" s="131">
        <f t="shared" si="13"/>
        <v>0</v>
      </c>
      <c r="N24" s="3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 ht="15.75" customHeight="1">
      <c r="A25" s="127"/>
      <c r="B25" s="127"/>
      <c r="C25" s="141" t="s">
        <v>134</v>
      </c>
      <c r="D25" s="135">
        <v>13840.68</v>
      </c>
      <c r="E25" s="151">
        <v>18500.17</v>
      </c>
      <c r="F25" s="143">
        <v>20292.41</v>
      </c>
      <c r="G25" s="135">
        <v>6410.0</v>
      </c>
      <c r="H25" s="131">
        <f>(G25/5)*12</f>
        <v>15384</v>
      </c>
      <c r="I25" s="132">
        <v>20000.0</v>
      </c>
      <c r="J25" s="131">
        <f t="shared" ref="J25:M25" si="14">I25*1.03</f>
        <v>20600</v>
      </c>
      <c r="K25" s="131">
        <f t="shared" si="14"/>
        <v>21218</v>
      </c>
      <c r="L25" s="131">
        <f t="shared" si="14"/>
        <v>21854.54</v>
      </c>
      <c r="M25" s="131">
        <f t="shared" si="14"/>
        <v>22510.1762</v>
      </c>
      <c r="N25" s="3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ht="15.75" customHeight="1">
      <c r="A26" s="127"/>
      <c r="B26" s="127"/>
      <c r="C26" s="141" t="s">
        <v>135</v>
      </c>
      <c r="D26" s="135"/>
      <c r="E26" s="144"/>
      <c r="F26" s="145"/>
      <c r="G26" s="136"/>
      <c r="H26" s="131"/>
      <c r="I26" s="131"/>
      <c r="J26" s="131">
        <f t="shared" ref="J26:M26" si="15">I26*1.03</f>
        <v>0</v>
      </c>
      <c r="K26" s="131">
        <f t="shared" si="15"/>
        <v>0</v>
      </c>
      <c r="L26" s="131">
        <f t="shared" si="15"/>
        <v>0</v>
      </c>
      <c r="M26" s="131">
        <f t="shared" si="15"/>
        <v>0</v>
      </c>
      <c r="N26" s="3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 ht="15.75" customHeight="1">
      <c r="A27" s="127"/>
      <c r="B27" s="127"/>
      <c r="C27" s="141" t="s">
        <v>136</v>
      </c>
      <c r="D27" s="135"/>
      <c r="E27" s="146"/>
      <c r="F27" s="145"/>
      <c r="G27" s="136"/>
      <c r="H27" s="131"/>
      <c r="I27" s="132"/>
      <c r="J27" s="131">
        <f t="shared" ref="J27:M27" si="16">I27*1.03</f>
        <v>0</v>
      </c>
      <c r="K27" s="131">
        <f t="shared" si="16"/>
        <v>0</v>
      </c>
      <c r="L27" s="131">
        <f t="shared" si="16"/>
        <v>0</v>
      </c>
      <c r="M27" s="131">
        <f t="shared" si="16"/>
        <v>0</v>
      </c>
      <c r="N27" s="3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 ht="15.75" customHeight="1">
      <c r="A28" s="127"/>
      <c r="B28" s="127"/>
      <c r="C28" s="141" t="s">
        <v>137</v>
      </c>
      <c r="D28" s="135">
        <v>5687.18</v>
      </c>
      <c r="E28" s="151">
        <v>830.86</v>
      </c>
      <c r="F28" s="152">
        <v>1060.34</v>
      </c>
      <c r="G28" s="135">
        <v>174.4</v>
      </c>
      <c r="H28" s="131">
        <f t="shared" ref="H28:H29" si="18">(G28/5)*12</f>
        <v>418.56</v>
      </c>
      <c r="I28" s="131"/>
      <c r="J28" s="131">
        <f t="shared" ref="J28:M28" si="17">I28*1.03</f>
        <v>0</v>
      </c>
      <c r="K28" s="131">
        <f t="shared" si="17"/>
        <v>0</v>
      </c>
      <c r="L28" s="131">
        <f t="shared" si="17"/>
        <v>0</v>
      </c>
      <c r="M28" s="131">
        <f t="shared" si="17"/>
        <v>0</v>
      </c>
      <c r="N28" s="3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 ht="15.75" customHeight="1">
      <c r="A29" s="127"/>
      <c r="B29" s="127"/>
      <c r="C29" s="141" t="s">
        <v>138</v>
      </c>
      <c r="D29" s="142">
        <v>29254.9</v>
      </c>
      <c r="E29" s="142">
        <v>26381.79</v>
      </c>
      <c r="F29" s="143">
        <v>26603.22</v>
      </c>
      <c r="G29" s="135">
        <v>22932.14</v>
      </c>
      <c r="H29" s="131">
        <f t="shared" si="18"/>
        <v>55037.136</v>
      </c>
      <c r="I29" s="153">
        <v>25000.0</v>
      </c>
      <c r="J29" s="131">
        <f t="shared" ref="J29:M29" si="19">I29*1.03</f>
        <v>25750</v>
      </c>
      <c r="K29" s="131">
        <f t="shared" si="19"/>
        <v>26522.5</v>
      </c>
      <c r="L29" s="131">
        <f t="shared" si="19"/>
        <v>27318.175</v>
      </c>
      <c r="M29" s="131">
        <f t="shared" si="19"/>
        <v>28137.72025</v>
      </c>
      <c r="N29" s="3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 ht="15.75" customHeight="1">
      <c r="A30" s="68"/>
      <c r="B30" s="68"/>
      <c r="C30" s="141" t="s">
        <v>139</v>
      </c>
      <c r="D30" s="131"/>
      <c r="E30" s="146"/>
      <c r="F30" s="145"/>
      <c r="G30" s="136"/>
      <c r="H30" s="131"/>
      <c r="I30" s="131"/>
      <c r="J30" s="131">
        <f t="shared" ref="J30:M30" si="20">I30*1.03</f>
        <v>0</v>
      </c>
      <c r="K30" s="131">
        <f t="shared" si="20"/>
        <v>0</v>
      </c>
      <c r="L30" s="131">
        <f t="shared" si="20"/>
        <v>0</v>
      </c>
      <c r="M30" s="131">
        <f t="shared" si="20"/>
        <v>0</v>
      </c>
      <c r="N30" s="3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5.75" customHeight="1">
      <c r="A31" s="127"/>
      <c r="B31" s="127"/>
      <c r="C31" s="141" t="s">
        <v>140</v>
      </c>
      <c r="D31" s="131"/>
      <c r="E31" s="146"/>
      <c r="F31" s="145"/>
      <c r="G31" s="136"/>
      <c r="H31" s="131"/>
      <c r="I31" s="131"/>
      <c r="J31" s="131">
        <f t="shared" ref="J31:M31" si="21">I31*1.03</f>
        <v>0</v>
      </c>
      <c r="K31" s="131">
        <f t="shared" si="21"/>
        <v>0</v>
      </c>
      <c r="L31" s="131">
        <f t="shared" si="21"/>
        <v>0</v>
      </c>
      <c r="M31" s="131">
        <f t="shared" si="21"/>
        <v>0</v>
      </c>
      <c r="N31" s="3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ht="15.75" customHeight="1">
      <c r="A32" s="127"/>
      <c r="B32" s="127"/>
      <c r="C32" s="141" t="s">
        <v>141</v>
      </c>
      <c r="D32" s="144"/>
      <c r="E32" s="154"/>
      <c r="F32" s="145"/>
      <c r="G32" s="136"/>
      <c r="H32" s="131"/>
      <c r="I32" s="131"/>
      <c r="J32" s="131">
        <f t="shared" ref="J32:M32" si="22">I32*1.03</f>
        <v>0</v>
      </c>
      <c r="K32" s="131">
        <f t="shared" si="22"/>
        <v>0</v>
      </c>
      <c r="L32" s="131">
        <f t="shared" si="22"/>
        <v>0</v>
      </c>
      <c r="M32" s="131">
        <f t="shared" si="22"/>
        <v>0</v>
      </c>
      <c r="N32" s="3"/>
      <c r="O32" s="155"/>
      <c r="P32" s="156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ht="15.75" customHeight="1">
      <c r="A33" s="127"/>
      <c r="B33" s="127"/>
      <c r="C33" s="141" t="s">
        <v>142</v>
      </c>
      <c r="D33" s="142">
        <v>3105.6</v>
      </c>
      <c r="E33" s="142">
        <v>3294.62</v>
      </c>
      <c r="F33" s="143">
        <v>3512.6</v>
      </c>
      <c r="G33" s="135">
        <v>627.65</v>
      </c>
      <c r="H33" s="131">
        <f t="shared" ref="H33:H34" si="24">(G33/5)*12</f>
        <v>1506.36</v>
      </c>
      <c r="I33" s="132">
        <v>3555.0</v>
      </c>
      <c r="J33" s="131">
        <f t="shared" ref="J33:M33" si="23">I33*1.03</f>
        <v>3661.65</v>
      </c>
      <c r="K33" s="131">
        <f t="shared" si="23"/>
        <v>3771.4995</v>
      </c>
      <c r="L33" s="131">
        <f t="shared" si="23"/>
        <v>3884.644485</v>
      </c>
      <c r="M33" s="131">
        <f t="shared" si="23"/>
        <v>4001.18382</v>
      </c>
      <c r="N33" s="3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 ht="15.75" customHeight="1">
      <c r="A34" s="127"/>
      <c r="B34" s="127"/>
      <c r="C34" s="141" t="s">
        <v>143</v>
      </c>
      <c r="D34" s="142">
        <v>1325.14</v>
      </c>
      <c r="E34" s="142">
        <v>2418.49</v>
      </c>
      <c r="F34" s="143">
        <v>2654.9</v>
      </c>
      <c r="G34" s="135">
        <v>1096.27</v>
      </c>
      <c r="H34" s="131">
        <f t="shared" si="24"/>
        <v>2631.048</v>
      </c>
      <c r="I34" s="150">
        <v>2500.0</v>
      </c>
      <c r="J34" s="131">
        <f t="shared" ref="J34:M34" si="25">I34*1.03</f>
        <v>2575</v>
      </c>
      <c r="K34" s="131">
        <f t="shared" si="25"/>
        <v>2652.25</v>
      </c>
      <c r="L34" s="131">
        <f t="shared" si="25"/>
        <v>2731.8175</v>
      </c>
      <c r="M34" s="131">
        <f t="shared" si="25"/>
        <v>2813.772025</v>
      </c>
      <c r="N34" s="3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 ht="15.75" customHeight="1">
      <c r="A35" s="127"/>
      <c r="B35" s="127"/>
      <c r="C35" s="141" t="s">
        <v>144</v>
      </c>
      <c r="D35" s="142"/>
      <c r="E35" s="144"/>
      <c r="F35" s="145"/>
      <c r="G35" s="136"/>
      <c r="H35" s="131"/>
      <c r="I35" s="131"/>
      <c r="J35" s="131">
        <f t="shared" ref="J35:M35" si="26">I35*1.03</f>
        <v>0</v>
      </c>
      <c r="K35" s="131">
        <f t="shared" si="26"/>
        <v>0</v>
      </c>
      <c r="L35" s="131">
        <f t="shared" si="26"/>
        <v>0</v>
      </c>
      <c r="M35" s="131">
        <f t="shared" si="26"/>
        <v>0</v>
      </c>
      <c r="N35" s="3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 ht="15.75" customHeight="1">
      <c r="A36" s="127"/>
      <c r="B36" s="127"/>
      <c r="C36" s="141" t="s">
        <v>145</v>
      </c>
      <c r="D36" s="142"/>
      <c r="E36" s="146"/>
      <c r="F36" s="145"/>
      <c r="G36" s="136"/>
      <c r="H36" s="131"/>
      <c r="I36" s="131"/>
      <c r="J36" s="131">
        <f t="shared" ref="J36:M36" si="27">I36*1.03</f>
        <v>0</v>
      </c>
      <c r="K36" s="131">
        <f t="shared" si="27"/>
        <v>0</v>
      </c>
      <c r="L36" s="131">
        <f t="shared" si="27"/>
        <v>0</v>
      </c>
      <c r="M36" s="131">
        <f t="shared" si="27"/>
        <v>0</v>
      </c>
      <c r="N36" s="3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 ht="15.75" customHeight="1">
      <c r="A37" s="127"/>
      <c r="B37" s="127"/>
      <c r="C37" s="141" t="s">
        <v>146</v>
      </c>
      <c r="D37" s="142">
        <v>77567.84</v>
      </c>
      <c r="E37" s="142">
        <v>88930.57</v>
      </c>
      <c r="F37" s="157">
        <v>107637.74</v>
      </c>
      <c r="G37" s="135">
        <v>43498.28</v>
      </c>
      <c r="H37" s="131">
        <f t="shared" ref="H37:H40" si="29">(G37/5)*12</f>
        <v>104395.872</v>
      </c>
      <c r="I37" s="132">
        <v>110000.0</v>
      </c>
      <c r="J37" s="131">
        <f t="shared" ref="J37:M37" si="28">I37*1.03</f>
        <v>113300</v>
      </c>
      <c r="K37" s="131">
        <f t="shared" si="28"/>
        <v>116699</v>
      </c>
      <c r="L37" s="131">
        <f t="shared" si="28"/>
        <v>120199.97</v>
      </c>
      <c r="M37" s="131">
        <f t="shared" si="28"/>
        <v>123805.9691</v>
      </c>
      <c r="N37" s="3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 ht="15.75" customHeight="1">
      <c r="A38" s="127"/>
      <c r="B38" s="127"/>
      <c r="C38" s="141" t="s">
        <v>147</v>
      </c>
      <c r="D38" s="142">
        <v>28715.97</v>
      </c>
      <c r="E38" s="142">
        <v>27473.47</v>
      </c>
      <c r="F38" s="143">
        <v>26877.55</v>
      </c>
      <c r="G38" s="135">
        <v>51174.03</v>
      </c>
      <c r="H38" s="131">
        <f t="shared" si="29"/>
        <v>122817.672</v>
      </c>
      <c r="I38" s="132">
        <v>25000.0</v>
      </c>
      <c r="J38" s="131">
        <f t="shared" ref="J38:M38" si="30">I38*1.03</f>
        <v>25750</v>
      </c>
      <c r="K38" s="131">
        <f t="shared" si="30"/>
        <v>26522.5</v>
      </c>
      <c r="L38" s="131">
        <f t="shared" si="30"/>
        <v>27318.175</v>
      </c>
      <c r="M38" s="131">
        <f t="shared" si="30"/>
        <v>28137.72025</v>
      </c>
      <c r="N38" s="3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 ht="15.75" customHeight="1">
      <c r="A39" s="127"/>
      <c r="B39" s="127"/>
      <c r="C39" s="141" t="s">
        <v>148</v>
      </c>
      <c r="D39" s="142">
        <v>3440.63</v>
      </c>
      <c r="E39" s="142">
        <v>4053.21</v>
      </c>
      <c r="F39" s="143">
        <v>4267.59</v>
      </c>
      <c r="G39" s="135">
        <v>2513.02</v>
      </c>
      <c r="H39" s="131">
        <f t="shared" si="29"/>
        <v>6031.248</v>
      </c>
      <c r="I39" s="150">
        <v>4500.0</v>
      </c>
      <c r="J39" s="131">
        <f t="shared" ref="J39:M39" si="31">I39*1.03</f>
        <v>4635</v>
      </c>
      <c r="K39" s="131">
        <f t="shared" si="31"/>
        <v>4774.05</v>
      </c>
      <c r="L39" s="131">
        <f t="shared" si="31"/>
        <v>4917.2715</v>
      </c>
      <c r="M39" s="131">
        <f t="shared" si="31"/>
        <v>5064.789645</v>
      </c>
      <c r="N39" s="3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 ht="15.75" customHeight="1">
      <c r="A40" s="127"/>
      <c r="B40" s="127"/>
      <c r="C40" s="141" t="s">
        <v>149</v>
      </c>
      <c r="D40" s="142">
        <v>321.0</v>
      </c>
      <c r="E40" s="142">
        <v>46984.0</v>
      </c>
      <c r="F40" s="143">
        <v>12041.0</v>
      </c>
      <c r="G40" s="135">
        <v>6.0</v>
      </c>
      <c r="H40" s="131">
        <f t="shared" si="29"/>
        <v>14.4</v>
      </c>
      <c r="I40" s="153">
        <v>12050.0</v>
      </c>
      <c r="J40" s="131">
        <f t="shared" ref="J40:M40" si="32">I40*1.03</f>
        <v>12411.5</v>
      </c>
      <c r="K40" s="131">
        <f t="shared" si="32"/>
        <v>12783.845</v>
      </c>
      <c r="L40" s="131">
        <f t="shared" si="32"/>
        <v>13167.36035</v>
      </c>
      <c r="M40" s="131">
        <f t="shared" si="32"/>
        <v>13562.38116</v>
      </c>
      <c r="N40" s="3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 ht="15.75" customHeight="1">
      <c r="A41" s="127"/>
      <c r="B41" s="127"/>
      <c r="C41" s="141" t="s">
        <v>150</v>
      </c>
      <c r="D41" s="142"/>
      <c r="E41" s="146"/>
      <c r="F41" s="145"/>
      <c r="G41" s="136"/>
      <c r="H41" s="131"/>
      <c r="I41" s="131"/>
      <c r="J41" s="131">
        <f t="shared" ref="J41:M41" si="33">I41*1.03</f>
        <v>0</v>
      </c>
      <c r="K41" s="131">
        <f t="shared" si="33"/>
        <v>0</v>
      </c>
      <c r="L41" s="131">
        <f t="shared" si="33"/>
        <v>0</v>
      </c>
      <c r="M41" s="131">
        <f t="shared" si="33"/>
        <v>0</v>
      </c>
      <c r="N41" s="3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 ht="15.75" customHeight="1">
      <c r="A42" s="127"/>
      <c r="B42" s="127"/>
      <c r="C42" s="141" t="s">
        <v>151</v>
      </c>
      <c r="D42" s="142"/>
      <c r="E42" s="146"/>
      <c r="F42" s="145"/>
      <c r="G42" s="136"/>
      <c r="H42" s="131"/>
      <c r="I42" s="153"/>
      <c r="J42" s="131">
        <f t="shared" ref="J42:M42" si="34">I42*1.03</f>
        <v>0</v>
      </c>
      <c r="K42" s="131">
        <f t="shared" si="34"/>
        <v>0</v>
      </c>
      <c r="L42" s="131">
        <f t="shared" si="34"/>
        <v>0</v>
      </c>
      <c r="M42" s="131">
        <f t="shared" si="34"/>
        <v>0</v>
      </c>
      <c r="N42" s="3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 ht="15.75" customHeight="1">
      <c r="A43" s="127"/>
      <c r="B43" s="127"/>
      <c r="C43" s="141" t="s">
        <v>152</v>
      </c>
      <c r="D43" s="135">
        <v>10345.08</v>
      </c>
      <c r="E43" s="151">
        <v>7316.22</v>
      </c>
      <c r="F43" s="143">
        <v>6146.39</v>
      </c>
      <c r="G43" s="135">
        <v>4607.67</v>
      </c>
      <c r="H43" s="131">
        <f t="shared" ref="H43:H44" si="36">(G43/5)*12</f>
        <v>11058.408</v>
      </c>
      <c r="I43" s="132">
        <v>150.0</v>
      </c>
      <c r="J43" s="131">
        <f t="shared" ref="J43:M43" si="35">I43*1.03</f>
        <v>154.5</v>
      </c>
      <c r="K43" s="131">
        <f t="shared" si="35"/>
        <v>159.135</v>
      </c>
      <c r="L43" s="131">
        <f t="shared" si="35"/>
        <v>163.90905</v>
      </c>
      <c r="M43" s="131">
        <f t="shared" si="35"/>
        <v>168.8263215</v>
      </c>
      <c r="N43" s="3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 ht="15.75" customHeight="1">
      <c r="A44" s="127"/>
      <c r="B44" s="127"/>
      <c r="C44" s="141" t="s">
        <v>153</v>
      </c>
      <c r="D44" s="142">
        <v>51978.73</v>
      </c>
      <c r="E44" s="142">
        <v>59720.53</v>
      </c>
      <c r="F44" s="143">
        <v>54226.63</v>
      </c>
      <c r="G44" s="135">
        <v>18662.18</v>
      </c>
      <c r="H44" s="131">
        <f t="shared" si="36"/>
        <v>44789.232</v>
      </c>
      <c r="I44" s="132">
        <v>55000.0</v>
      </c>
      <c r="J44" s="131">
        <f t="shared" ref="J44:M44" si="37">I44*1.03</f>
        <v>56650</v>
      </c>
      <c r="K44" s="131">
        <f t="shared" si="37"/>
        <v>58349.5</v>
      </c>
      <c r="L44" s="131">
        <f t="shared" si="37"/>
        <v>60099.985</v>
      </c>
      <c r="M44" s="131">
        <f t="shared" si="37"/>
        <v>61902.98455</v>
      </c>
      <c r="N44" s="3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 ht="15.75" customHeight="1">
      <c r="A45" s="127"/>
      <c r="B45" s="127"/>
      <c r="C45" s="141" t="s">
        <v>154</v>
      </c>
      <c r="D45" s="142">
        <v>33940.91</v>
      </c>
      <c r="E45" s="142">
        <v>38531.66</v>
      </c>
      <c r="F45" s="143">
        <v>1664.42</v>
      </c>
      <c r="G45" s="136"/>
      <c r="H45" s="131"/>
      <c r="I45" s="132">
        <v>1500.0</v>
      </c>
      <c r="J45" s="131">
        <f t="shared" ref="J45:M45" si="38">I45*1.03</f>
        <v>1545</v>
      </c>
      <c r="K45" s="131">
        <f t="shared" si="38"/>
        <v>1591.35</v>
      </c>
      <c r="L45" s="131">
        <f t="shared" si="38"/>
        <v>1639.0905</v>
      </c>
      <c r="M45" s="131">
        <f t="shared" si="38"/>
        <v>1688.263215</v>
      </c>
      <c r="N45" s="3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 ht="15.75" customHeight="1">
      <c r="A46" s="127"/>
      <c r="B46" s="127"/>
      <c r="C46" s="158" t="s">
        <v>155</v>
      </c>
      <c r="D46" s="159">
        <f t="shared" ref="D46:M46" si="39">SUM(D15:D45)</f>
        <v>780961.77</v>
      </c>
      <c r="E46" s="159">
        <f t="shared" si="39"/>
        <v>894419.63</v>
      </c>
      <c r="F46" s="159">
        <f t="shared" si="39"/>
        <v>826252.97</v>
      </c>
      <c r="G46" s="159">
        <f t="shared" si="39"/>
        <v>369315.42</v>
      </c>
      <c r="H46" s="160">
        <f t="shared" si="39"/>
        <v>886357.008</v>
      </c>
      <c r="I46" s="160">
        <f t="shared" si="39"/>
        <v>804185</v>
      </c>
      <c r="J46" s="160">
        <f t="shared" si="39"/>
        <v>828310.55</v>
      </c>
      <c r="K46" s="160">
        <f t="shared" si="39"/>
        <v>853159.8665</v>
      </c>
      <c r="L46" s="160">
        <f t="shared" si="39"/>
        <v>878754.6625</v>
      </c>
      <c r="M46" s="160">
        <f t="shared" si="39"/>
        <v>905117.3024</v>
      </c>
      <c r="N46" s="161">
        <f>I46</f>
        <v>804185</v>
      </c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 ht="15.75" customHeight="1">
      <c r="A47" s="127"/>
      <c r="B47" s="127"/>
      <c r="C47" s="158" t="s">
        <v>26</v>
      </c>
      <c r="D47" s="160">
        <f t="shared" ref="D47:N47" si="40">D12-D46</f>
        <v>411340.05</v>
      </c>
      <c r="E47" s="160">
        <f t="shared" si="40"/>
        <v>467961.21</v>
      </c>
      <c r="F47" s="160">
        <f t="shared" si="40"/>
        <v>593744.96</v>
      </c>
      <c r="G47" s="160">
        <f t="shared" si="40"/>
        <v>221740.6</v>
      </c>
      <c r="H47" s="160">
        <f t="shared" si="40"/>
        <v>532177.44</v>
      </c>
      <c r="I47" s="160">
        <f t="shared" si="40"/>
        <v>658412.8679</v>
      </c>
      <c r="J47" s="160">
        <f t="shared" si="40"/>
        <v>678165.2539</v>
      </c>
      <c r="K47" s="160">
        <f t="shared" si="40"/>
        <v>698510.2116</v>
      </c>
      <c r="L47" s="160">
        <f t="shared" si="40"/>
        <v>719465.5179</v>
      </c>
      <c r="M47" s="160">
        <f t="shared" si="40"/>
        <v>741049.4834</v>
      </c>
      <c r="N47" s="161">
        <f t="shared" si="40"/>
        <v>611227</v>
      </c>
      <c r="O47" s="162">
        <v>679263.0</v>
      </c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 ht="5.25" customHeight="1">
      <c r="C48" s="163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64"/>
    </row>
    <row r="49" ht="19.5" customHeight="1">
      <c r="C49" s="165" t="s">
        <v>156</v>
      </c>
      <c r="D49" s="166">
        <f>D47/'Deal Overview'!$C$5</f>
        <v>0.06328308462</v>
      </c>
      <c r="E49" s="166">
        <f>E47/'Deal Overview'!$C$5</f>
        <v>0.07199403231</v>
      </c>
      <c r="F49" s="166">
        <f>F47/'Deal Overview'!$C$5</f>
        <v>0.09134537846</v>
      </c>
      <c r="G49" s="166">
        <f>G47/'Deal Overview'!$C$5</f>
        <v>0.03411393846</v>
      </c>
      <c r="H49" s="166">
        <f>H47/'Deal Overview'!$C$5</f>
        <v>0.08187345231</v>
      </c>
      <c r="I49" s="166">
        <f>I47/'Deal Overview'!$C$5</f>
        <v>0.1012942874</v>
      </c>
      <c r="J49" s="166">
        <f>J47/'Deal Overview'!$C$5</f>
        <v>0.104333116</v>
      </c>
      <c r="K49" s="166">
        <f>K47/'Deal Overview'!$C$5</f>
        <v>0.1074631095</v>
      </c>
      <c r="L49" s="166">
        <f>L47/'Deal Overview'!$C$5</f>
        <v>0.1106870028</v>
      </c>
      <c r="M49" s="166">
        <f>M47/'Deal Overview'!$C$5</f>
        <v>0.1140076128</v>
      </c>
      <c r="N49" s="167">
        <f>N47/'Sources and Uses'!$D$5</f>
        <v>0.09403492308</v>
      </c>
    </row>
    <row r="50" ht="18.0" customHeight="1">
      <c r="A50" s="127"/>
      <c r="B50" s="127"/>
      <c r="C50" s="168" t="s">
        <v>157</v>
      </c>
      <c r="D50" s="166">
        <f t="shared" ref="D50:M50" si="41">D46/D12</f>
        <v>0.6550034202</v>
      </c>
      <c r="E50" s="166">
        <f t="shared" si="41"/>
        <v>0.6565121908</v>
      </c>
      <c r="F50" s="166">
        <f t="shared" si="41"/>
        <v>0.581869137</v>
      </c>
      <c r="G50" s="166">
        <f t="shared" si="41"/>
        <v>0.6248399602</v>
      </c>
      <c r="H50" s="166">
        <f t="shared" si="41"/>
        <v>0.6248399602</v>
      </c>
      <c r="I50" s="166">
        <f t="shared" si="41"/>
        <v>0.5498332916</v>
      </c>
      <c r="J50" s="166">
        <f t="shared" si="41"/>
        <v>0.5498332916</v>
      </c>
      <c r="K50" s="166">
        <f t="shared" si="41"/>
        <v>0.5498332916</v>
      </c>
      <c r="L50" s="166">
        <f t="shared" si="41"/>
        <v>0.5498332916</v>
      </c>
      <c r="M50" s="166">
        <f t="shared" si="41"/>
        <v>0.5498332916</v>
      </c>
      <c r="N50" s="167">
        <f>I46/(N13*12)</f>
        <v>0.5681631921</v>
      </c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 ht="18.0" customHeight="1">
      <c r="A51" s="127"/>
      <c r="B51" s="127"/>
      <c r="C51" s="168" t="s">
        <v>158</v>
      </c>
      <c r="D51" s="131"/>
      <c r="E51" s="131"/>
      <c r="F51" s="131"/>
      <c r="G51" s="131"/>
      <c r="H51" s="131"/>
      <c r="I51" s="169">
        <v>20000.0</v>
      </c>
      <c r="J51" s="170">
        <f t="shared" ref="J51:M51" si="42">I51</f>
        <v>20000</v>
      </c>
      <c r="K51" s="170">
        <f t="shared" si="42"/>
        <v>20000</v>
      </c>
      <c r="L51" s="170">
        <f t="shared" si="42"/>
        <v>20000</v>
      </c>
      <c r="M51" s="170">
        <f t="shared" si="42"/>
        <v>20000</v>
      </c>
      <c r="N51" s="171">
        <v>20000.0</v>
      </c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 ht="15.75" customHeight="1">
      <c r="C52" s="121" t="s">
        <v>159</v>
      </c>
      <c r="D52" s="172"/>
      <c r="E52" s="172"/>
      <c r="F52" s="172"/>
      <c r="G52" s="172"/>
      <c r="H52" s="172"/>
      <c r="I52" s="173">
        <f>'Sources and Uses'!J9</f>
        <v>370370.8072</v>
      </c>
      <c r="J52" s="174">
        <f t="shared" ref="J52:M52" si="43">I52</f>
        <v>370370.8072</v>
      </c>
      <c r="K52" s="174">
        <f t="shared" si="43"/>
        <v>370370.8072</v>
      </c>
      <c r="L52" s="174">
        <f t="shared" si="43"/>
        <v>370370.8072</v>
      </c>
      <c r="M52" s="175">
        <f t="shared" si="43"/>
        <v>370370.8072</v>
      </c>
      <c r="N52" s="176">
        <f>I52</f>
        <v>370370.8072</v>
      </c>
    </row>
    <row r="53" ht="15.75" customHeight="1">
      <c r="C53" s="127" t="s">
        <v>160</v>
      </c>
      <c r="I53" s="177">
        <f t="shared" ref="I53:N53" si="44">I12*0.01</f>
        <v>14625.97868</v>
      </c>
      <c r="J53" s="178">
        <f t="shared" si="44"/>
        <v>15064.75804</v>
      </c>
      <c r="K53" s="178">
        <f t="shared" si="44"/>
        <v>15516.70078</v>
      </c>
      <c r="L53" s="178">
        <f t="shared" si="44"/>
        <v>15982.2018</v>
      </c>
      <c r="M53" s="179">
        <f t="shared" si="44"/>
        <v>16461.66786</v>
      </c>
      <c r="N53" s="180">
        <f t="shared" si="44"/>
        <v>14154.12</v>
      </c>
    </row>
    <row r="54" ht="15.75" customHeight="1">
      <c r="C54" s="127" t="s">
        <v>136</v>
      </c>
      <c r="H54" s="181">
        <v>0.02</v>
      </c>
      <c r="I54" s="177">
        <f t="shared" ref="I54:N54" si="45">I12*$H$54</f>
        <v>29251.95736</v>
      </c>
      <c r="J54" s="178">
        <f t="shared" si="45"/>
        <v>30129.51608</v>
      </c>
      <c r="K54" s="178">
        <f t="shared" si="45"/>
        <v>31033.40156</v>
      </c>
      <c r="L54" s="178">
        <f t="shared" si="45"/>
        <v>31964.40361</v>
      </c>
      <c r="M54" s="179">
        <f t="shared" si="45"/>
        <v>32923.33572</v>
      </c>
      <c r="N54" s="180">
        <f t="shared" si="45"/>
        <v>28308.24</v>
      </c>
    </row>
    <row r="55" ht="15.75" customHeight="1">
      <c r="C55" s="127" t="s">
        <v>161</v>
      </c>
      <c r="I55" s="177">
        <f t="shared" ref="I55:N55" si="46">I47-I51-I52-I53-I54</f>
        <v>224164.1247</v>
      </c>
      <c r="J55" s="178">
        <f t="shared" si="46"/>
        <v>242600.1726</v>
      </c>
      <c r="K55" s="178">
        <f t="shared" si="46"/>
        <v>261589.302</v>
      </c>
      <c r="L55" s="178">
        <f t="shared" si="46"/>
        <v>281148.1053</v>
      </c>
      <c r="M55" s="179">
        <f t="shared" si="46"/>
        <v>301293.6727</v>
      </c>
      <c r="N55" s="180">
        <f t="shared" si="46"/>
        <v>178393.8328</v>
      </c>
    </row>
    <row r="56" ht="15.75" customHeight="1">
      <c r="C56" s="127" t="s">
        <v>162</v>
      </c>
      <c r="D56" s="182">
        <f>D55/'Deal Overview'!$C$8</f>
        <v>0</v>
      </c>
      <c r="E56" s="182">
        <f>E55/'Deal Overview'!$C$8</f>
        <v>0</v>
      </c>
      <c r="F56" s="182">
        <f>F55/'Deal Overview'!$C$8</f>
        <v>0</v>
      </c>
      <c r="G56" s="182">
        <f>G55/'Deal Overview'!$C$8</f>
        <v>0</v>
      </c>
      <c r="H56" s="182">
        <f>H55/'Deal Overview'!$C$8</f>
        <v>0</v>
      </c>
      <c r="I56" s="183">
        <f>I55/'Deal Overview'!$C$8</f>
        <v>0.08820150488</v>
      </c>
      <c r="J56" s="184">
        <f>J55/'Deal Overview'!$C$8</f>
        <v>0.09545550762</v>
      </c>
      <c r="K56" s="184">
        <f>K55/'Deal Overview'!$C$8</f>
        <v>0.1029271304</v>
      </c>
      <c r="L56" s="184">
        <f>L55/'Deal Overview'!$C$8</f>
        <v>0.1106229019</v>
      </c>
      <c r="M56" s="185">
        <f>M55/'Deal Overview'!$C$8</f>
        <v>0.1185495466</v>
      </c>
      <c r="N56" s="186">
        <f>N55/'Sources and Uses'!$G$20</f>
        <v>0.07019234027</v>
      </c>
    </row>
    <row r="57" ht="15.75" customHeight="1">
      <c r="C57" s="79" t="s">
        <v>47</v>
      </c>
      <c r="I57" s="187" t="str">
        <f>'Sources and Uses'!L8</f>
        <v>Total Principal Reduction</v>
      </c>
      <c r="J57" s="187">
        <f>'Sources and Uses'!M8</f>
        <v>-74557.69438</v>
      </c>
      <c r="K57" s="187">
        <f>'Sources and Uses'!N8</f>
        <v>-79590.53146</v>
      </c>
      <c r="L57" s="187">
        <f>'Sources and Uses'!O8</f>
        <v>-84963.09806</v>
      </c>
      <c r="M57" s="187">
        <f>'Sources and Uses'!P8</f>
        <v>-90698.32678</v>
      </c>
      <c r="N57" s="84">
        <f>'Sources and Uses'!Q8</f>
        <v>-96820.69827</v>
      </c>
    </row>
    <row r="58" ht="15.75" customHeight="1">
      <c r="C58" s="79" t="s">
        <v>64</v>
      </c>
      <c r="I58" s="188">
        <f>'Sources and Uses'!M9</f>
        <v>4475442.306</v>
      </c>
      <c r="J58" s="188">
        <f>'Sources and Uses'!N9</f>
        <v>4395851.774</v>
      </c>
      <c r="K58" s="188">
        <f>'Sources and Uses'!O9</f>
        <v>4310888.676</v>
      </c>
      <c r="L58" s="188">
        <f>'Sources and Uses'!P9</f>
        <v>4220190.349</v>
      </c>
      <c r="M58" s="188">
        <f>'Sources and Uses'!Q9</f>
        <v>4123369.651</v>
      </c>
      <c r="N58" s="20" t="str">
        <f>'Sources and Uses'!R9</f>
        <v/>
      </c>
    </row>
    <row r="59" ht="15.75" customHeight="1">
      <c r="C59" s="79" t="s">
        <v>163</v>
      </c>
      <c r="I59" s="187">
        <f t="shared" ref="I59:N59" si="47">I47/0.08</f>
        <v>8230160.849</v>
      </c>
      <c r="J59" s="187">
        <f t="shared" si="47"/>
        <v>8477065.674</v>
      </c>
      <c r="K59" s="187">
        <f t="shared" si="47"/>
        <v>8731377.644</v>
      </c>
      <c r="L59" s="187">
        <f t="shared" si="47"/>
        <v>8993318.974</v>
      </c>
      <c r="M59" s="187">
        <f t="shared" si="47"/>
        <v>9263118.543</v>
      </c>
      <c r="N59" s="84">
        <f t="shared" si="47"/>
        <v>7640337.5</v>
      </c>
    </row>
    <row r="60" ht="15.75" customHeight="1">
      <c r="C60" s="79" t="s">
        <v>164</v>
      </c>
      <c r="I60" s="187">
        <f t="shared" ref="I60:N60" si="48">I59*0.06</f>
        <v>493809.6509</v>
      </c>
      <c r="J60" s="187">
        <f t="shared" si="48"/>
        <v>508623.9405</v>
      </c>
      <c r="K60" s="187">
        <f t="shared" si="48"/>
        <v>523882.6587</v>
      </c>
      <c r="L60" s="187">
        <f t="shared" si="48"/>
        <v>539599.1384</v>
      </c>
      <c r="M60" s="187">
        <f t="shared" si="48"/>
        <v>555787.1126</v>
      </c>
      <c r="N60" s="84">
        <f t="shared" si="48"/>
        <v>458420.25</v>
      </c>
    </row>
    <row r="61" ht="15.75" customHeight="1">
      <c r="C61" s="79" t="s">
        <v>165</v>
      </c>
      <c r="I61" s="187">
        <f t="shared" ref="I61:N61" si="49">I59-I60-I58</f>
        <v>3260908.892</v>
      </c>
      <c r="J61" s="187">
        <f t="shared" si="49"/>
        <v>3572589.96</v>
      </c>
      <c r="K61" s="187">
        <f t="shared" si="49"/>
        <v>3896606.31</v>
      </c>
      <c r="L61" s="187">
        <f t="shared" si="49"/>
        <v>4233529.486</v>
      </c>
      <c r="M61" s="187">
        <f t="shared" si="49"/>
        <v>4583961.779</v>
      </c>
      <c r="N61" s="84">
        <f t="shared" si="49"/>
        <v>7181917.25</v>
      </c>
    </row>
    <row r="62" ht="15.75" customHeight="1">
      <c r="C62" s="79" t="s">
        <v>166</v>
      </c>
      <c r="D62" s="189">
        <v>0.08</v>
      </c>
      <c r="E62" s="178"/>
      <c r="F62" s="178"/>
      <c r="I62" s="187">
        <f>'Sources and Uses'!$D$13*$D$62</f>
        <v>203320</v>
      </c>
      <c r="J62" s="187">
        <f>'Sources and Uses'!$D$13*$D$62</f>
        <v>203320</v>
      </c>
      <c r="K62" s="187">
        <f>'Sources and Uses'!$D$13*$D$62</f>
        <v>203320</v>
      </c>
      <c r="L62" s="187">
        <f>'Sources and Uses'!$D$13*$D$62</f>
        <v>203320</v>
      </c>
      <c r="M62" s="187">
        <f>'Sources and Uses'!$D$13*$D$62</f>
        <v>203320</v>
      </c>
      <c r="N62" s="84">
        <f>'Sources and Uses'!$D$13*$D$62</f>
        <v>203320</v>
      </c>
    </row>
    <row r="63" ht="15.75" customHeight="1">
      <c r="C63" s="79" t="s">
        <v>35</v>
      </c>
      <c r="D63" s="189">
        <v>0.5</v>
      </c>
      <c r="E63" s="178"/>
      <c r="F63" s="178"/>
      <c r="I63" s="187">
        <f t="shared" ref="I63:M63" si="50">if((I55-I62)&gt;0,(I55-I62)/2,0)</f>
        <v>10422.06233</v>
      </c>
      <c r="J63" s="187">
        <f t="shared" si="50"/>
        <v>19640.0863</v>
      </c>
      <c r="K63" s="187">
        <f t="shared" si="50"/>
        <v>29134.651</v>
      </c>
      <c r="L63" s="187">
        <f t="shared" si="50"/>
        <v>38914.05264</v>
      </c>
      <c r="M63" s="187">
        <f t="shared" si="50"/>
        <v>48986.83633</v>
      </c>
      <c r="N63" s="84">
        <f>if((N55-N62)&gt;0,(N55-N62)/2,0)</f>
        <v>0</v>
      </c>
    </row>
    <row r="64" ht="15.75" customHeight="1">
      <c r="C64" s="79" t="s">
        <v>167</v>
      </c>
      <c r="D64" s="178"/>
      <c r="E64" s="178"/>
      <c r="F64" s="178"/>
      <c r="I64" s="190">
        <f t="shared" ref="I64:N64" si="51">I55-I63</f>
        <v>213742.0623</v>
      </c>
      <c r="J64" s="190">
        <f t="shared" si="51"/>
        <v>222960.0863</v>
      </c>
      <c r="K64" s="190">
        <f t="shared" si="51"/>
        <v>232454.651</v>
      </c>
      <c r="L64" s="190">
        <f t="shared" si="51"/>
        <v>242234.0526</v>
      </c>
      <c r="M64" s="190">
        <f t="shared" si="51"/>
        <v>252306.8363</v>
      </c>
      <c r="N64" s="191">
        <f t="shared" si="51"/>
        <v>178393.8328</v>
      </c>
    </row>
    <row r="65" ht="15.75" customHeight="1">
      <c r="C65" s="79" t="s">
        <v>168</v>
      </c>
      <c r="D65" s="178"/>
      <c r="E65" s="178"/>
      <c r="F65" s="178"/>
      <c r="I65" s="85">
        <f>I64/'Sources and Uses'!$D$13</f>
        <v>0.08410075244</v>
      </c>
      <c r="J65" s="85">
        <f>J64/'Sources and Uses'!$D$13</f>
        <v>0.08772775381</v>
      </c>
      <c r="K65" s="85">
        <f>K64/'Sources and Uses'!$D$13</f>
        <v>0.09146356522</v>
      </c>
      <c r="L65" s="85">
        <f>L64/'Sources and Uses'!$D$13</f>
        <v>0.09531145097</v>
      </c>
      <c r="M65" s="85">
        <f>M64/'Sources and Uses'!$D$13</f>
        <v>0.09927477329</v>
      </c>
      <c r="N65" s="107">
        <f>N64/'Sources and Uses'!$D$13</f>
        <v>0.07019234027</v>
      </c>
    </row>
    <row r="66" ht="15.75" customHeight="1">
      <c r="D66" s="178"/>
      <c r="E66" s="178"/>
      <c r="F66" s="178"/>
      <c r="O66" s="79"/>
    </row>
    <row r="67" ht="15.75" customHeight="1">
      <c r="C67" s="79" t="s">
        <v>169</v>
      </c>
      <c r="D67" s="178"/>
      <c r="E67" s="178"/>
      <c r="F67" s="178"/>
      <c r="O67" s="79"/>
    </row>
    <row r="68" ht="15.75" customHeight="1">
      <c r="C68" s="79" t="s">
        <v>170</v>
      </c>
      <c r="D68" s="178"/>
      <c r="E68" s="178"/>
      <c r="F68" s="178"/>
      <c r="I68" s="187">
        <f t="shared" ref="I68:M68" si="52">I63</f>
        <v>10422.06233</v>
      </c>
      <c r="J68" s="187">
        <f t="shared" si="52"/>
        <v>19640.0863</v>
      </c>
      <c r="K68" s="187">
        <f t="shared" si="52"/>
        <v>29134.651</v>
      </c>
      <c r="L68" s="187">
        <f t="shared" si="52"/>
        <v>38914.05264</v>
      </c>
      <c r="M68" s="187">
        <f t="shared" si="52"/>
        <v>48986.83633</v>
      </c>
      <c r="O68" s="79"/>
    </row>
    <row r="69" ht="15.75" customHeight="1">
      <c r="C69" s="79" t="s">
        <v>171</v>
      </c>
      <c r="D69" s="178"/>
      <c r="E69" s="178"/>
      <c r="F69" s="178"/>
      <c r="M69" s="187">
        <f>M59*0.03</f>
        <v>277893.5563</v>
      </c>
      <c r="O69" s="79"/>
    </row>
    <row r="70" ht="15.75" customHeight="1">
      <c r="C70" s="79" t="s">
        <v>172</v>
      </c>
      <c r="D70" s="178"/>
      <c r="E70" s="178"/>
      <c r="F70" s="178"/>
      <c r="I70" s="188">
        <f>'Sources and Uses'!D18</f>
        <v>45500</v>
      </c>
      <c r="O70" s="79"/>
    </row>
    <row r="71" ht="15.75" customHeight="1">
      <c r="C71" s="79" t="s">
        <v>160</v>
      </c>
      <c r="D71" s="178"/>
      <c r="E71" s="178"/>
      <c r="F71" s="178"/>
      <c r="I71" s="190">
        <f t="shared" ref="I71:M71" si="53">I53</f>
        <v>14625.97868</v>
      </c>
      <c r="J71" s="190">
        <f t="shared" si="53"/>
        <v>15064.75804</v>
      </c>
      <c r="K71" s="190">
        <f t="shared" si="53"/>
        <v>15516.70078</v>
      </c>
      <c r="L71" s="190">
        <f t="shared" si="53"/>
        <v>15982.2018</v>
      </c>
      <c r="M71" s="190">
        <f t="shared" si="53"/>
        <v>16461.66786</v>
      </c>
      <c r="O71" s="79"/>
    </row>
    <row r="72" ht="15.75" customHeight="1">
      <c r="C72" s="79" t="s">
        <v>173</v>
      </c>
      <c r="D72" s="178"/>
      <c r="E72" s="178"/>
      <c r="F72" s="178"/>
      <c r="M72" s="187">
        <f>(M61-'Sources and Uses'!D13)*D63</f>
        <v>1021230.89</v>
      </c>
      <c r="O72" s="79"/>
    </row>
    <row r="73" ht="15.75" customHeight="1">
      <c r="C73" s="79" t="s">
        <v>12</v>
      </c>
      <c r="D73" s="178">
        <f>sum(I68:M72)</f>
        <v>1569373.442</v>
      </c>
      <c r="E73" s="178"/>
      <c r="F73" s="178"/>
      <c r="O73" s="79"/>
    </row>
    <row r="74" ht="15.75" customHeight="1">
      <c r="D74" s="178"/>
      <c r="E74" s="178"/>
      <c r="F74" s="178"/>
      <c r="O74" s="79"/>
    </row>
    <row r="75" ht="15.75" customHeight="1">
      <c r="D75" s="178"/>
      <c r="E75" s="178"/>
      <c r="F75" s="178"/>
      <c r="O75" s="79"/>
    </row>
    <row r="76" ht="15.75" customHeight="1">
      <c r="D76" s="178"/>
      <c r="E76" s="178"/>
      <c r="F76" s="178"/>
      <c r="L76" s="192" t="s">
        <v>25</v>
      </c>
      <c r="M76" s="193">
        <f>'Sources and Uses'!D13</f>
        <v>2541500</v>
      </c>
      <c r="O76" s="79"/>
    </row>
    <row r="77" ht="15.75" customHeight="1">
      <c r="D77" s="178"/>
      <c r="E77" s="178"/>
      <c r="F77" s="178"/>
      <c r="I77" s="194">
        <v>0.0813</v>
      </c>
      <c r="L77" s="192" t="s">
        <v>9</v>
      </c>
      <c r="M77" s="193">
        <f>'Sources and Uses'!D5</f>
        <v>6500000</v>
      </c>
      <c r="O77" s="79"/>
    </row>
    <row r="78" ht="15.75" customHeight="1">
      <c r="D78" s="178"/>
      <c r="E78" s="178"/>
      <c r="F78" s="178"/>
      <c r="L78" s="192" t="s">
        <v>163</v>
      </c>
      <c r="M78" s="195">
        <f>M47/0.08</f>
        <v>9263118.543</v>
      </c>
      <c r="O78" s="79"/>
    </row>
    <row r="79" ht="15.75" customHeight="1">
      <c r="D79" s="178"/>
      <c r="E79" s="178"/>
      <c r="F79" s="178"/>
      <c r="L79" s="192" t="s">
        <v>174</v>
      </c>
      <c r="M79" s="195">
        <f>M78*0.06</f>
        <v>555787.1126</v>
      </c>
      <c r="O79" s="79"/>
    </row>
    <row r="80" ht="15.75" customHeight="1">
      <c r="D80" s="178"/>
      <c r="E80" s="178"/>
      <c r="F80" s="178"/>
      <c r="L80" s="192" t="s">
        <v>159</v>
      </c>
      <c r="M80" s="195">
        <f>'Sources and Uses'!Q9</f>
        <v>4123369.651</v>
      </c>
      <c r="O80" s="79"/>
    </row>
    <row r="81" ht="15.75" customHeight="1">
      <c r="D81" s="178"/>
      <c r="E81" s="178"/>
      <c r="F81" s="178"/>
      <c r="L81" s="192" t="s">
        <v>175</v>
      </c>
      <c r="M81" s="195">
        <f>M78-M79-M80</f>
        <v>4583961.779</v>
      </c>
      <c r="O81" s="79"/>
    </row>
    <row r="82" ht="15.75" customHeight="1">
      <c r="D82" s="178"/>
      <c r="E82" s="178"/>
      <c r="F82" s="178"/>
      <c r="L82" s="192" t="s">
        <v>176</v>
      </c>
      <c r="M82" s="196">
        <f>(M81-M76)/M76</f>
        <v>0.8036442177</v>
      </c>
      <c r="O82" s="79"/>
    </row>
    <row r="83" ht="15.75" customHeight="1">
      <c r="D83" s="178"/>
      <c r="E83" s="178"/>
      <c r="F83" s="178"/>
      <c r="L83" s="192" t="s">
        <v>177</v>
      </c>
      <c r="M83" s="196">
        <f>M82/5</f>
        <v>0.1607288435</v>
      </c>
      <c r="O83" s="79"/>
    </row>
    <row r="84" ht="15.75" customHeight="1">
      <c r="D84" s="178"/>
      <c r="E84" s="178"/>
      <c r="F84" s="178"/>
      <c r="O84" s="79"/>
    </row>
    <row r="85" ht="15.75" customHeight="1">
      <c r="D85" s="178"/>
      <c r="E85" s="178"/>
      <c r="F85" s="178"/>
      <c r="O85" s="79"/>
    </row>
    <row r="86" ht="15.75" customHeight="1">
      <c r="D86" s="178"/>
      <c r="E86" s="178"/>
      <c r="F86" s="178"/>
      <c r="O86" s="79" t="s">
        <v>178</v>
      </c>
      <c r="P86" s="190">
        <f>sum(I55:M55)</f>
        <v>1310795.377</v>
      </c>
    </row>
    <row r="87" ht="15.75" customHeight="1">
      <c r="D87" s="178"/>
      <c r="E87" s="178"/>
      <c r="F87" s="178"/>
      <c r="O87" s="79" t="s">
        <v>179</v>
      </c>
      <c r="P87" s="187">
        <f>M61-'Sources and Uses'!D13</f>
        <v>2042461.779</v>
      </c>
    </row>
    <row r="88" ht="15.75" customHeight="1">
      <c r="D88" s="178">
        <f t="shared" ref="D88:G88" si="54">D46+D89</f>
        <v>858719.26</v>
      </c>
      <c r="E88" s="178">
        <f t="shared" si="54"/>
        <v>989610.36</v>
      </c>
      <c r="F88" s="178">
        <f t="shared" si="54"/>
        <v>1045609.56</v>
      </c>
      <c r="G88" s="178">
        <f t="shared" si="54"/>
        <v>426366.47</v>
      </c>
      <c r="O88" s="79" t="s">
        <v>21</v>
      </c>
      <c r="P88" s="187">
        <f>P87+P86</f>
        <v>3353257.157</v>
      </c>
    </row>
    <row r="89" ht="15.75" customHeight="1">
      <c r="C89" s="127" t="s">
        <v>180</v>
      </c>
      <c r="D89" s="197">
        <f t="shared" ref="D89:G89" si="55">SUM(D90:D1048604)</f>
        <v>77757.49</v>
      </c>
      <c r="E89" s="197">
        <f t="shared" si="55"/>
        <v>95190.73</v>
      </c>
      <c r="F89" s="197">
        <f t="shared" si="55"/>
        <v>219356.59</v>
      </c>
      <c r="G89" s="197">
        <f t="shared" si="55"/>
        <v>57051.05</v>
      </c>
      <c r="O89" s="79" t="s">
        <v>181</v>
      </c>
      <c r="P89" s="187">
        <f>sum(I62:M62)</f>
        <v>1016600</v>
      </c>
    </row>
    <row r="90" ht="15.75" customHeight="1">
      <c r="C90" s="127" t="s">
        <v>182</v>
      </c>
      <c r="D90" s="198">
        <v>76200.0</v>
      </c>
      <c r="E90" s="198">
        <v>94500.0</v>
      </c>
      <c r="F90" s="198">
        <v>216146.09</v>
      </c>
      <c r="G90" s="79">
        <v>55000.0</v>
      </c>
      <c r="O90" s="79" t="s">
        <v>183</v>
      </c>
      <c r="P90" s="187">
        <f>P88-P89</f>
        <v>2336657.157</v>
      </c>
    </row>
    <row r="91" ht="15.75" customHeight="1">
      <c r="C91" s="127" t="s">
        <v>184</v>
      </c>
      <c r="D91" s="198">
        <v>302.63</v>
      </c>
      <c r="E91" s="198">
        <v>267.59</v>
      </c>
      <c r="F91" s="198">
        <v>924.19</v>
      </c>
      <c r="G91" s="79">
        <v>26.68</v>
      </c>
      <c r="O91" s="79" t="s">
        <v>185</v>
      </c>
      <c r="P91" s="187">
        <f>P90/2</f>
        <v>1168328.578</v>
      </c>
    </row>
    <row r="92" ht="15.75" customHeight="1">
      <c r="C92" s="127" t="s">
        <v>186</v>
      </c>
      <c r="D92" s="198">
        <v>844.33</v>
      </c>
      <c r="E92" s="199" t="s">
        <v>187</v>
      </c>
      <c r="F92" s="198">
        <v>1269.69</v>
      </c>
      <c r="O92" s="79" t="s">
        <v>188</v>
      </c>
      <c r="P92" s="187">
        <f>P91+P89</f>
        <v>2184928.578</v>
      </c>
    </row>
    <row r="93" ht="15.75" customHeight="1">
      <c r="C93" s="200" t="s">
        <v>189</v>
      </c>
      <c r="D93" s="198">
        <v>410.53</v>
      </c>
      <c r="E93" s="198">
        <v>423.14</v>
      </c>
      <c r="F93" s="198">
        <v>310.0</v>
      </c>
      <c r="P93" s="85">
        <f>P92/'Sources and Uses'!D13</f>
        <v>0.8597004046</v>
      </c>
    </row>
    <row r="94" ht="15.75" customHeight="1">
      <c r="C94" s="200" t="s">
        <v>190</v>
      </c>
      <c r="D94" s="199" t="s">
        <v>187</v>
      </c>
      <c r="E94" s="199" t="s">
        <v>187</v>
      </c>
      <c r="F94" s="198">
        <v>693.1</v>
      </c>
      <c r="G94" s="79">
        <v>1471.87</v>
      </c>
    </row>
    <row r="95" ht="15.75" customHeight="1">
      <c r="C95" s="200" t="s">
        <v>13</v>
      </c>
      <c r="D95" s="199" t="s">
        <v>187</v>
      </c>
      <c r="E95" s="199" t="s">
        <v>187</v>
      </c>
      <c r="F95" s="198">
        <v>13.52</v>
      </c>
    </row>
    <row r="96" ht="15.75" customHeight="1">
      <c r="C96" s="79" t="s">
        <v>191</v>
      </c>
      <c r="G96" s="79">
        <v>552.5</v>
      </c>
      <c r="P96" s="79" t="s">
        <v>192</v>
      </c>
      <c r="Q96" s="79" t="s">
        <v>48</v>
      </c>
      <c r="R96" s="79" t="s">
        <v>49</v>
      </c>
      <c r="S96" s="79" t="s">
        <v>50</v>
      </c>
      <c r="T96" s="79" t="s">
        <v>51</v>
      </c>
      <c r="U96" s="79" t="s">
        <v>52</v>
      </c>
    </row>
    <row r="97" ht="15.75" customHeight="1">
      <c r="O97" s="79" t="s">
        <v>30</v>
      </c>
      <c r="P97" s="188">
        <f>-'Sources and Uses'!D13</f>
        <v>-2541500</v>
      </c>
      <c r="Q97" s="190">
        <f t="shared" ref="Q97:U97" si="56">I55</f>
        <v>224164.1247</v>
      </c>
      <c r="R97" s="190">
        <f t="shared" si="56"/>
        <v>242600.1726</v>
      </c>
      <c r="S97" s="190">
        <f t="shared" si="56"/>
        <v>261589.302</v>
      </c>
      <c r="T97" s="190">
        <f t="shared" si="56"/>
        <v>281148.1053</v>
      </c>
      <c r="U97" s="190">
        <f t="shared" si="56"/>
        <v>301293.6727</v>
      </c>
    </row>
    <row r="98" ht="15.75" customHeight="1">
      <c r="O98" s="79" t="s">
        <v>47</v>
      </c>
    </row>
    <row r="99" ht="15.75" customHeight="1">
      <c r="O99" s="79" t="s">
        <v>193</v>
      </c>
      <c r="U99" s="187">
        <f>M61</f>
        <v>4583961.779</v>
      </c>
    </row>
    <row r="100" ht="15.75" customHeight="1">
      <c r="O100" s="79" t="s">
        <v>194</v>
      </c>
      <c r="Q100" s="187">
        <f t="shared" ref="Q100:T100" si="57">(I55-I62)/2</f>
        <v>10422.06233</v>
      </c>
      <c r="R100" s="187">
        <f t="shared" si="57"/>
        <v>19640.0863</v>
      </c>
      <c r="S100" s="187">
        <f t="shared" si="57"/>
        <v>29134.651</v>
      </c>
      <c r="T100" s="187">
        <f t="shared" si="57"/>
        <v>38914.05264</v>
      </c>
      <c r="U100" s="187">
        <f>((M55-M62)/2)+((U99-'Sources and Uses'!D13)/2)</f>
        <v>1070217.726</v>
      </c>
    </row>
    <row r="101" ht="15.75" customHeight="1">
      <c r="O101" s="79" t="s">
        <v>195</v>
      </c>
      <c r="P101" s="188">
        <f>P99+P98+P97</f>
        <v>-2541500</v>
      </c>
      <c r="Q101" s="190">
        <f t="shared" ref="Q101:U101" si="58">Q99+Q98+Q97-Q100</f>
        <v>213742.0623</v>
      </c>
      <c r="R101" s="190">
        <f t="shared" si="58"/>
        <v>222960.0863</v>
      </c>
      <c r="S101" s="190">
        <f t="shared" si="58"/>
        <v>232454.651</v>
      </c>
      <c r="T101" s="190">
        <f t="shared" si="58"/>
        <v>242234.0526</v>
      </c>
      <c r="U101" s="187">
        <f t="shared" si="58"/>
        <v>3815037.726</v>
      </c>
    </row>
    <row r="102" ht="15.75" customHeight="1">
      <c r="O102" s="79" t="s">
        <v>196</v>
      </c>
      <c r="P102" s="201">
        <f>irr(P101:U101)</f>
        <v>0.1501087053</v>
      </c>
    </row>
    <row r="103" ht="15.75" customHeight="1">
      <c r="O103" s="79" t="s">
        <v>176</v>
      </c>
      <c r="P103" s="201">
        <f>sum(P101:U101)/'Sources and Uses'!D13</f>
        <v>0.8597004046</v>
      </c>
    </row>
    <row r="104" ht="15.75" customHeight="1"/>
    <row r="105" ht="15.75" customHeight="1"/>
    <row r="106" ht="15.75" customHeight="1">
      <c r="P106" s="79" t="s">
        <v>192</v>
      </c>
      <c r="Q106" s="79" t="s">
        <v>48</v>
      </c>
      <c r="R106" s="79" t="s">
        <v>49</v>
      </c>
      <c r="S106" s="79" t="s">
        <v>50</v>
      </c>
      <c r="T106" s="79" t="s">
        <v>51</v>
      </c>
      <c r="U106" s="79" t="s">
        <v>52</v>
      </c>
    </row>
    <row r="107" ht="15.75" customHeight="1">
      <c r="O107" s="79" t="s">
        <v>30</v>
      </c>
      <c r="P107" s="188">
        <f t="shared" ref="P107:R107" si="59">P97</f>
        <v>-2541500</v>
      </c>
      <c r="Q107" s="190">
        <f t="shared" si="59"/>
        <v>224164.1247</v>
      </c>
      <c r="R107" s="190">
        <f t="shared" si="59"/>
        <v>242600.1726</v>
      </c>
      <c r="S107" s="85">
        <f t="shared" ref="S107:U107" si="60">K65</f>
        <v>0.09146356522</v>
      </c>
      <c r="T107" s="85">
        <f t="shared" si="60"/>
        <v>0.09531145097</v>
      </c>
      <c r="U107" s="85">
        <f t="shared" si="60"/>
        <v>0.09927477329</v>
      </c>
    </row>
    <row r="108" ht="15.75" customHeight="1">
      <c r="O108" s="79" t="s">
        <v>47</v>
      </c>
    </row>
    <row r="109" ht="15.75" customHeight="1">
      <c r="O109" s="79" t="s">
        <v>193</v>
      </c>
      <c r="R109" s="187">
        <f>J61</f>
        <v>3572589.96</v>
      </c>
      <c r="U109" s="79" t="str">
        <f>M91</f>
        <v/>
      </c>
    </row>
    <row r="110" ht="15.75" customHeight="1">
      <c r="O110" s="79" t="s">
        <v>194</v>
      </c>
      <c r="Q110" s="187">
        <f t="shared" ref="Q110:R110" si="61">Q100</f>
        <v>10422.06233</v>
      </c>
      <c r="R110" s="187">
        <f t="shared" si="61"/>
        <v>19640.0863</v>
      </c>
      <c r="S110" s="187">
        <f t="shared" ref="S110:T110" si="62">(K65-K92)/2</f>
        <v>0.04573178261</v>
      </c>
      <c r="T110" s="187">
        <f t="shared" si="62"/>
        <v>0.04765572548</v>
      </c>
      <c r="U110" s="187">
        <f>((M65-M92)/2)+((U109-'Sources and Uses'!D23)/2)</f>
        <v>-230749.9504</v>
      </c>
    </row>
    <row r="111" ht="15.75" customHeight="1">
      <c r="O111" s="79" t="s">
        <v>195</v>
      </c>
      <c r="P111" s="188">
        <f>P109+P108+P107</f>
        <v>-2541500</v>
      </c>
      <c r="Q111" s="190">
        <f t="shared" ref="Q111:U111" si="63">Q109+Q108+Q107-Q110</f>
        <v>213742.0623</v>
      </c>
      <c r="R111" s="187">
        <f t="shared" si="63"/>
        <v>3795550.046</v>
      </c>
      <c r="S111" s="85">
        <f t="shared" si="63"/>
        <v>0.04573178261</v>
      </c>
      <c r="T111" s="85">
        <f t="shared" si="63"/>
        <v>0.04765572548</v>
      </c>
      <c r="U111" s="85">
        <f t="shared" si="63"/>
        <v>230750.0496</v>
      </c>
    </row>
    <row r="112" ht="15.75" customHeight="1">
      <c r="O112" s="79" t="s">
        <v>196</v>
      </c>
      <c r="P112" s="201">
        <f>irr(P111:U111)</f>
        <v>0.2823151445</v>
      </c>
    </row>
    <row r="113" ht="15.75" customHeight="1">
      <c r="O113" s="79" t="s">
        <v>176</v>
      </c>
      <c r="P113" s="201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96F"/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2" width="1.88"/>
    <col customWidth="1" min="3" max="3" width="25.88"/>
    <col customWidth="1" min="4" max="6" width="12.5"/>
    <col customWidth="1" min="7" max="7" width="23.5"/>
    <col customWidth="1" min="8" max="10" width="12.5"/>
    <col customWidth="1" min="11" max="11" width="17.25"/>
    <col customWidth="1" min="12" max="12" width="15.88"/>
    <col customWidth="1" min="13" max="26" width="12.5"/>
  </cols>
  <sheetData>
    <row r="1" ht="9.75" customHeight="1"/>
    <row r="2">
      <c r="C2" s="1" t="s">
        <v>197</v>
      </c>
      <c r="D2" s="2"/>
      <c r="E2" s="2"/>
      <c r="F2" s="2"/>
      <c r="G2" s="3"/>
      <c r="H2" s="3"/>
      <c r="I2" s="3"/>
      <c r="J2" s="1" t="s">
        <v>198</v>
      </c>
      <c r="K2" s="2"/>
      <c r="L2" s="2"/>
      <c r="M2" s="3"/>
      <c r="N2" s="3"/>
      <c r="O2" s="3"/>
      <c r="P2" s="3"/>
    </row>
    <row r="3" ht="15.75" customHeight="1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ht="15.75" customHeight="1">
      <c r="C4" s="202"/>
      <c r="D4" s="203" t="s">
        <v>48</v>
      </c>
      <c r="E4" s="203" t="s">
        <v>49</v>
      </c>
      <c r="F4" s="203" t="s">
        <v>50</v>
      </c>
      <c r="G4" s="203" t="s">
        <v>51</v>
      </c>
      <c r="H4" s="203" t="s">
        <v>52</v>
      </c>
      <c r="I4" s="3"/>
      <c r="J4" s="202"/>
      <c r="K4" s="203">
        <f>Proforma!D4</f>
        <v>2022</v>
      </c>
      <c r="L4" s="203">
        <f>Proforma!E4</f>
        <v>2023</v>
      </c>
      <c r="M4" s="203">
        <f>Proforma!F4</f>
        <v>2024</v>
      </c>
      <c r="N4" s="203" t="str">
        <f>Proforma!G4</f>
        <v>2025 YTD (May)</v>
      </c>
      <c r="O4" s="203" t="str">
        <f>Proforma!H4</f>
        <v>2025 Annualized</v>
      </c>
      <c r="P4" s="3"/>
    </row>
    <row r="5" ht="15.75" hidden="1" customHeight="1">
      <c r="C5" s="13" t="s">
        <v>10</v>
      </c>
      <c r="D5" s="204">
        <f>166554.6*12</f>
        <v>1998655.2</v>
      </c>
      <c r="E5" s="204">
        <f t="shared" ref="E5:F5" si="1">D5*1.03</f>
        <v>2058614.856</v>
      </c>
      <c r="F5" s="205">
        <f t="shared" si="1"/>
        <v>2120373.302</v>
      </c>
      <c r="G5" s="3"/>
      <c r="H5" s="31"/>
      <c r="I5" s="31"/>
      <c r="J5" s="31"/>
      <c r="K5" s="31"/>
      <c r="L5" s="31"/>
      <c r="M5" s="31"/>
      <c r="N5" s="3"/>
      <c r="O5" s="3"/>
      <c r="P5" s="3"/>
    </row>
    <row r="6" ht="15.75" hidden="1" customHeight="1">
      <c r="C6" s="3" t="s">
        <v>199</v>
      </c>
      <c r="D6" s="18">
        <f t="shared" ref="D6:F6" si="2">D5*-0.086</f>
        <v>-171884.3472</v>
      </c>
      <c r="E6" s="18">
        <f t="shared" si="2"/>
        <v>-177040.8776</v>
      </c>
      <c r="F6" s="18">
        <f t="shared" si="2"/>
        <v>-182352.1039</v>
      </c>
      <c r="G6" s="3"/>
      <c r="H6" s="31"/>
      <c r="I6" s="31"/>
      <c r="J6" s="31"/>
      <c r="K6" s="31"/>
      <c r="L6" s="31"/>
      <c r="M6" s="31"/>
      <c r="N6" s="3"/>
      <c r="O6" s="3"/>
      <c r="P6" s="3"/>
    </row>
    <row r="7" ht="15.75" hidden="1" customHeight="1">
      <c r="C7" s="3" t="s">
        <v>13</v>
      </c>
      <c r="D7" s="18">
        <f t="shared" ref="D7:F7" si="3">2842.28*12</f>
        <v>34107.36</v>
      </c>
      <c r="E7" s="18">
        <f t="shared" si="3"/>
        <v>34107.36</v>
      </c>
      <c r="F7" s="18">
        <f t="shared" si="3"/>
        <v>34107.36</v>
      </c>
      <c r="G7" s="3"/>
      <c r="H7" s="31"/>
      <c r="I7" s="31"/>
      <c r="J7" s="31"/>
      <c r="K7" s="31"/>
      <c r="L7" s="31"/>
      <c r="M7" s="31"/>
      <c r="N7" s="3"/>
      <c r="O7" s="3"/>
      <c r="P7" s="3"/>
    </row>
    <row r="8" ht="15.75" customHeight="1">
      <c r="C8" s="3" t="s">
        <v>15</v>
      </c>
      <c r="D8" s="18">
        <f>Proforma!I12</f>
        <v>1462597.868</v>
      </c>
      <c r="E8" s="18">
        <f>Proforma!J12</f>
        <v>1506475.804</v>
      </c>
      <c r="F8" s="18">
        <f>Proforma!K12</f>
        <v>1551670.078</v>
      </c>
      <c r="G8" s="18">
        <f>Proforma!L12</f>
        <v>1598220.18</v>
      </c>
      <c r="H8" s="18">
        <f>Proforma!M12</f>
        <v>1646166.786</v>
      </c>
      <c r="I8" s="20"/>
      <c r="J8" s="20" t="str">
        <f t="shared" ref="J8:J9" si="4">C8</f>
        <v>Effective Gross Income</v>
      </c>
      <c r="K8" s="18">
        <f>Proforma!D12</f>
        <v>1192301.82</v>
      </c>
      <c r="L8" s="18">
        <f>Proforma!E12</f>
        <v>1362380.84</v>
      </c>
      <c r="M8" s="18">
        <f>Proforma!F12</f>
        <v>1419997.93</v>
      </c>
      <c r="N8" s="18">
        <f>Proforma!G12</f>
        <v>591056.02</v>
      </c>
      <c r="O8" s="18">
        <f>Proforma!H12</f>
        <v>1418534.448</v>
      </c>
      <c r="P8" s="3"/>
    </row>
    <row r="9" ht="15.75" customHeight="1">
      <c r="C9" s="3" t="s">
        <v>17</v>
      </c>
      <c r="D9" s="18">
        <f>Proforma!I46</f>
        <v>804185</v>
      </c>
      <c r="E9" s="18">
        <f>Proforma!J46</f>
        <v>828310.55</v>
      </c>
      <c r="F9" s="18">
        <f>Proforma!K46</f>
        <v>853159.8665</v>
      </c>
      <c r="G9" s="18">
        <f>Proforma!L46</f>
        <v>878754.6625</v>
      </c>
      <c r="H9" s="18">
        <f>Proforma!M46</f>
        <v>905117.3024</v>
      </c>
      <c r="I9" s="31"/>
      <c r="J9" s="31" t="str">
        <f t="shared" si="4"/>
        <v>Expenses</v>
      </c>
      <c r="K9" s="18">
        <f>Proforma!D46</f>
        <v>780961.77</v>
      </c>
      <c r="L9" s="18">
        <f>Proforma!E46</f>
        <v>894419.63</v>
      </c>
      <c r="M9" s="18">
        <f>Proforma!F46</f>
        <v>826252.97</v>
      </c>
      <c r="N9" s="18">
        <f>Proforma!G46</f>
        <v>369315.42</v>
      </c>
      <c r="O9" s="18">
        <f>Proforma!H46</f>
        <v>886357.008</v>
      </c>
      <c r="P9" s="3"/>
    </row>
    <row r="10" ht="15.75" customHeight="1">
      <c r="C10" s="3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"/>
    </row>
    <row r="11" ht="15.75" customHeight="1">
      <c r="C11" s="23" t="s">
        <v>26</v>
      </c>
      <c r="D11" s="42">
        <f t="shared" ref="D11:H11" si="5">D8-D9</f>
        <v>658412.8679</v>
      </c>
      <c r="E11" s="42">
        <f t="shared" si="5"/>
        <v>678165.2539</v>
      </c>
      <c r="F11" s="42">
        <f t="shared" si="5"/>
        <v>698510.2116</v>
      </c>
      <c r="G11" s="42">
        <f t="shared" si="5"/>
        <v>719465.5179</v>
      </c>
      <c r="H11" s="42">
        <f t="shared" si="5"/>
        <v>741049.4834</v>
      </c>
      <c r="I11" s="31"/>
      <c r="J11" s="206" t="str">
        <f>C11</f>
        <v>Net Operating Income</v>
      </c>
      <c r="K11" s="207">
        <f t="shared" ref="K11:O11" si="6">K8-K9</f>
        <v>411340.05</v>
      </c>
      <c r="L11" s="207">
        <f t="shared" si="6"/>
        <v>467961.21</v>
      </c>
      <c r="M11" s="207">
        <f t="shared" si="6"/>
        <v>593744.96</v>
      </c>
      <c r="N11" s="207">
        <f t="shared" si="6"/>
        <v>221740.6</v>
      </c>
      <c r="O11" s="207">
        <f t="shared" si="6"/>
        <v>532177.44</v>
      </c>
      <c r="P11" s="3"/>
    </row>
    <row r="12" ht="5.25" customHeight="1">
      <c r="C12" s="3"/>
      <c r="D12" s="31"/>
      <c r="E12" s="31"/>
      <c r="F12" s="31"/>
      <c r="G12" s="3"/>
      <c r="H12" s="31"/>
      <c r="I12" s="31"/>
      <c r="J12" s="31"/>
      <c r="K12" s="31"/>
      <c r="L12" s="31"/>
      <c r="M12" s="31"/>
      <c r="N12" s="3"/>
      <c r="O12" s="3"/>
      <c r="P12" s="3"/>
    </row>
    <row r="13" ht="15.75" customHeight="1">
      <c r="C13" s="3"/>
      <c r="D13" s="31"/>
      <c r="E13" s="31"/>
      <c r="F13" s="31"/>
      <c r="G13" s="3"/>
      <c r="H13" s="31"/>
      <c r="I13" s="31"/>
      <c r="J13" s="208" t="s">
        <v>200</v>
      </c>
      <c r="K13" s="209"/>
      <c r="L13" s="209"/>
      <c r="M13" s="209"/>
      <c r="N13" s="209"/>
      <c r="O13" s="210"/>
      <c r="P13" s="3"/>
    </row>
    <row r="14" ht="15.75" customHeight="1">
      <c r="C14" s="3"/>
      <c r="D14" s="31"/>
      <c r="E14" s="31"/>
      <c r="F14" s="31"/>
      <c r="G14" s="3"/>
      <c r="H14" s="3"/>
      <c r="I14" s="3"/>
      <c r="J14" s="211" t="s">
        <v>201</v>
      </c>
      <c r="K14" s="20"/>
      <c r="L14" s="20"/>
      <c r="M14" s="20"/>
      <c r="N14" s="20"/>
      <c r="O14" s="212"/>
      <c r="P14" s="3"/>
    </row>
    <row r="15" ht="15.75" customHeight="1">
      <c r="C15" s="3"/>
      <c r="D15" s="3"/>
      <c r="E15" s="3"/>
      <c r="F15" s="3"/>
      <c r="G15" s="3"/>
      <c r="H15" s="3"/>
      <c r="I15" s="3"/>
      <c r="J15" s="211" t="s">
        <v>202</v>
      </c>
      <c r="K15" s="20"/>
      <c r="L15" s="20"/>
      <c r="M15" s="20"/>
      <c r="N15" s="20"/>
      <c r="O15" s="212"/>
      <c r="P15" s="3"/>
    </row>
    <row r="16" ht="15.75" customHeight="1">
      <c r="C16" s="3"/>
      <c r="D16" s="3"/>
      <c r="E16" s="3"/>
      <c r="F16" s="3"/>
      <c r="G16" s="3"/>
      <c r="H16" s="20"/>
      <c r="I16" s="20"/>
      <c r="J16" s="213" t="s">
        <v>203</v>
      </c>
      <c r="K16" s="20"/>
      <c r="L16" s="20"/>
      <c r="M16" s="20"/>
      <c r="N16" s="20"/>
      <c r="O16" s="214"/>
      <c r="P16" s="3"/>
    </row>
    <row r="17" ht="15.75" customHeight="1">
      <c r="C17" s="3"/>
      <c r="D17" s="3"/>
      <c r="E17" s="3"/>
      <c r="F17" s="3"/>
      <c r="G17" s="3"/>
      <c r="H17" s="20"/>
      <c r="I17" s="20"/>
      <c r="J17" s="213" t="s">
        <v>204</v>
      </c>
      <c r="K17" s="20"/>
      <c r="L17" s="20"/>
      <c r="M17" s="20"/>
      <c r="N17" s="20"/>
      <c r="O17" s="214"/>
      <c r="P17" s="3"/>
    </row>
    <row r="18" ht="15.75" customHeight="1">
      <c r="C18" s="3"/>
      <c r="D18" s="3"/>
      <c r="E18" s="3"/>
      <c r="F18" s="3"/>
      <c r="G18" s="3"/>
      <c r="H18" s="20"/>
      <c r="I18" s="20"/>
      <c r="J18" s="213" t="s">
        <v>205</v>
      </c>
      <c r="K18" s="20"/>
      <c r="L18" s="20"/>
      <c r="M18" s="20"/>
      <c r="N18" s="20"/>
      <c r="O18" s="214"/>
      <c r="P18" s="3"/>
    </row>
    <row r="19" ht="15.75" customHeight="1">
      <c r="C19" s="3"/>
      <c r="D19" s="3"/>
      <c r="E19" s="3"/>
      <c r="F19" s="3"/>
      <c r="G19" s="3"/>
      <c r="H19" s="20"/>
      <c r="I19" s="20"/>
      <c r="J19" s="213" t="s">
        <v>206</v>
      </c>
      <c r="K19" s="20"/>
      <c r="L19" s="20"/>
      <c r="M19" s="20"/>
      <c r="N19" s="20"/>
      <c r="O19" s="214"/>
      <c r="P19" s="3"/>
    </row>
    <row r="20" ht="15.75" customHeight="1">
      <c r="C20" s="3"/>
      <c r="D20" s="3"/>
      <c r="E20" s="3"/>
      <c r="F20" s="3"/>
      <c r="G20" s="3"/>
      <c r="H20" s="20"/>
      <c r="I20" s="20"/>
      <c r="J20" s="213" t="s">
        <v>207</v>
      </c>
      <c r="K20" s="20"/>
      <c r="L20" s="20"/>
      <c r="M20" s="20"/>
      <c r="N20" s="20"/>
      <c r="O20" s="214"/>
      <c r="P20" s="3"/>
    </row>
    <row r="21" ht="15.75" customHeight="1">
      <c r="C21" s="3"/>
      <c r="D21" s="3"/>
      <c r="E21" s="3"/>
      <c r="F21" s="3"/>
      <c r="G21" s="3"/>
      <c r="H21" s="20"/>
      <c r="I21" s="20"/>
      <c r="J21" s="215" t="s">
        <v>208</v>
      </c>
      <c r="K21" s="48"/>
      <c r="L21" s="48"/>
      <c r="M21" s="48"/>
      <c r="N21" s="48"/>
      <c r="O21" s="216"/>
      <c r="P21" s="3"/>
    </row>
    <row r="22" ht="15.75" customHeight="1">
      <c r="C22" s="3"/>
      <c r="D22" s="3"/>
      <c r="E22" s="3"/>
      <c r="F22" s="3"/>
      <c r="G22" s="3"/>
      <c r="H22" s="20"/>
      <c r="I22" s="20"/>
      <c r="J22" s="20"/>
      <c r="K22" s="20"/>
      <c r="L22" s="20"/>
      <c r="M22" s="20"/>
      <c r="N22" s="20"/>
      <c r="O22" s="3"/>
      <c r="P22" s="3"/>
    </row>
    <row r="23" ht="15.75" customHeight="1">
      <c r="C23" s="3"/>
      <c r="D23" s="3"/>
      <c r="E23" s="3"/>
      <c r="F23" s="3"/>
      <c r="G23" s="3"/>
      <c r="H23" s="20"/>
      <c r="I23" s="20"/>
      <c r="J23" s="20"/>
      <c r="K23" s="20"/>
      <c r="L23" s="20"/>
      <c r="M23" s="20"/>
      <c r="N23" s="20"/>
      <c r="O23" s="3"/>
      <c r="P23" s="3"/>
    </row>
    <row r="24" ht="15.75" customHeight="1"/>
    <row r="25" ht="15.75" customHeight="1"/>
    <row r="26" ht="15.75" customHeight="1">
      <c r="H26" s="156">
        <f t="shared" ref="H26:J26" si="7">H10+H18</f>
        <v>0</v>
      </c>
      <c r="I26" s="156">
        <f t="shared" si="7"/>
        <v>0</v>
      </c>
      <c r="J26" s="156" t="str">
        <f t="shared" si="7"/>
        <v>#VALUE!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2.75"/>
    <col customWidth="1" min="3" max="3" width="11.5"/>
    <col customWidth="1" min="4" max="4" width="8.63"/>
    <col customWidth="1" min="5" max="5" width="35.75"/>
    <col customWidth="1" min="6" max="26" width="8.63"/>
  </cols>
  <sheetData>
    <row r="1" ht="12.0" customHeight="1">
      <c r="A1" s="3"/>
      <c r="B1" s="3"/>
      <c r="C1" s="217"/>
      <c r="D1" s="3" t="s">
        <v>209</v>
      </c>
      <c r="E1" s="3" t="s">
        <v>210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0" customHeight="1">
      <c r="A2" s="3" t="s">
        <v>211</v>
      </c>
      <c r="B2" s="3" t="s">
        <v>212</v>
      </c>
      <c r="C2" s="21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3" t="s">
        <v>213</v>
      </c>
      <c r="B3" s="3"/>
      <c r="C3" s="217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0" customHeight="1">
      <c r="A4" s="3" t="s">
        <v>214</v>
      </c>
      <c r="B4" s="3"/>
      <c r="C4" s="217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3" t="s">
        <v>215</v>
      </c>
      <c r="B5" s="3"/>
      <c r="C5" s="21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0" customHeight="1">
      <c r="A6" s="3"/>
      <c r="B6" s="3"/>
      <c r="C6" s="21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0" customHeight="1">
      <c r="A7" s="3"/>
      <c r="B7" s="3"/>
      <c r="C7" s="217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0" customHeight="1">
      <c r="A8" s="3"/>
      <c r="B8" s="3"/>
      <c r="C8" s="217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0" customHeight="1">
      <c r="A9" s="3"/>
      <c r="B9" s="3"/>
      <c r="C9" s="217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0" customHeight="1">
      <c r="A10" s="3"/>
      <c r="B10" s="3"/>
      <c r="C10" s="21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0" customHeight="1">
      <c r="A11" s="3"/>
      <c r="B11" s="3"/>
      <c r="C11" s="21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0" customHeight="1">
      <c r="A12" s="3"/>
      <c r="B12" s="3"/>
      <c r="C12" s="21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0" customHeight="1">
      <c r="A13" s="3"/>
      <c r="B13" s="3"/>
      <c r="C13" s="21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0" customHeight="1">
      <c r="A14" s="3"/>
      <c r="B14" s="3"/>
      <c r="C14" s="21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0" customHeight="1">
      <c r="A15" s="3"/>
      <c r="B15" s="3"/>
      <c r="C15" s="21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0" customHeight="1">
      <c r="A16" s="3"/>
      <c r="B16" s="3"/>
      <c r="C16" s="21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0" customHeight="1">
      <c r="A17" s="3"/>
      <c r="B17" s="3"/>
      <c r="C17" s="21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0" customHeight="1">
      <c r="A18" s="3"/>
      <c r="B18" s="3"/>
      <c r="C18" s="21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3"/>
      <c r="B19" s="3"/>
      <c r="C19" s="21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3"/>
      <c r="B20" s="3"/>
      <c r="C20" s="21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0" customHeight="1">
      <c r="A21" s="3"/>
      <c r="B21" s="3"/>
      <c r="C21" s="21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0" customHeight="1">
      <c r="A22" s="3"/>
      <c r="B22" s="3"/>
      <c r="C22" s="21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3"/>
      <c r="B23" s="3"/>
      <c r="C23" s="21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0" customHeight="1">
      <c r="A24" s="3"/>
      <c r="B24" s="3"/>
      <c r="C24" s="21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3"/>
      <c r="B25" s="3"/>
      <c r="C25" s="21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3"/>
      <c r="B26" s="3"/>
      <c r="C26" s="217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3"/>
      <c r="B27" s="3"/>
      <c r="C27" s="21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0" customHeight="1">
      <c r="A28" s="3"/>
      <c r="B28" s="3"/>
      <c r="C28" s="21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0" customHeight="1">
      <c r="A29" s="3"/>
      <c r="B29" s="3"/>
      <c r="C29" s="21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0" customHeight="1">
      <c r="A30" s="3"/>
      <c r="B30" s="3"/>
      <c r="C30" s="21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3"/>
      <c r="B31" s="3"/>
      <c r="C31" s="21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0" customHeight="1">
      <c r="A32" s="3"/>
      <c r="B32" s="3"/>
      <c r="C32" s="21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0" customHeight="1">
      <c r="A33" s="3"/>
      <c r="B33" s="3"/>
      <c r="C33" s="21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0" customHeight="1">
      <c r="A34" s="3"/>
      <c r="B34" s="3"/>
      <c r="C34" s="21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0" customHeight="1">
      <c r="A35" s="3"/>
      <c r="B35" s="3"/>
      <c r="C35" s="21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0" customHeight="1">
      <c r="A36" s="3"/>
      <c r="B36" s="3"/>
      <c r="C36" s="21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0" customHeight="1">
      <c r="A37" s="3"/>
      <c r="B37" s="3"/>
      <c r="C37" s="21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0" customHeight="1">
      <c r="A38" s="3"/>
      <c r="B38" s="3"/>
      <c r="C38" s="21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0" customHeight="1">
      <c r="A39" s="3"/>
      <c r="B39" s="3"/>
      <c r="C39" s="21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0" customHeight="1">
      <c r="A40" s="3"/>
      <c r="B40" s="3"/>
      <c r="C40" s="21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0" customHeight="1">
      <c r="A41" s="3"/>
      <c r="B41" s="3"/>
      <c r="C41" s="21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0" customHeight="1">
      <c r="A42" s="3"/>
      <c r="B42" s="3"/>
      <c r="C42" s="21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0" customHeight="1">
      <c r="A43" s="3"/>
      <c r="B43" s="3"/>
      <c r="C43" s="21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0" customHeight="1">
      <c r="A44" s="3"/>
      <c r="B44" s="3"/>
      <c r="C44" s="21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0" customHeight="1">
      <c r="A45" s="3"/>
      <c r="B45" s="3"/>
      <c r="C45" s="21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0" customHeight="1">
      <c r="A46" s="3"/>
      <c r="B46" s="3"/>
      <c r="C46" s="21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0" customHeight="1">
      <c r="A47" s="3"/>
      <c r="B47" s="3"/>
      <c r="C47" s="21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0" customHeight="1">
      <c r="A48" s="3"/>
      <c r="B48" s="3"/>
      <c r="C48" s="21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0" customHeight="1">
      <c r="A49" s="3"/>
      <c r="B49" s="3"/>
      <c r="C49" s="21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0" customHeight="1">
      <c r="A50" s="3"/>
      <c r="B50" s="3"/>
      <c r="C50" s="21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0" customHeight="1">
      <c r="A51" s="3"/>
      <c r="B51" s="3"/>
      <c r="C51" s="21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0" customHeight="1">
      <c r="A52" s="3"/>
      <c r="B52" s="3"/>
      <c r="C52" s="21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0" customHeight="1">
      <c r="A53" s="3"/>
      <c r="B53" s="3"/>
      <c r="C53" s="21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0" customHeight="1">
      <c r="A54" s="3"/>
      <c r="B54" s="3"/>
      <c r="C54" s="21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0" customHeight="1">
      <c r="A55" s="3"/>
      <c r="B55" s="3"/>
      <c r="C55" s="21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0" customHeight="1">
      <c r="A56" s="3"/>
      <c r="B56" s="3"/>
      <c r="C56" s="21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0" customHeight="1">
      <c r="A57" s="3"/>
      <c r="B57" s="3"/>
      <c r="C57" s="21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0" customHeight="1">
      <c r="A58" s="3"/>
      <c r="B58" s="3"/>
      <c r="C58" s="21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0" customHeight="1">
      <c r="A59" s="3"/>
      <c r="B59" s="3"/>
      <c r="C59" s="21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0" customHeight="1">
      <c r="A60" s="3"/>
      <c r="B60" s="3"/>
      <c r="C60" s="21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0" customHeight="1">
      <c r="A61" s="3"/>
      <c r="B61" s="3"/>
      <c r="C61" s="21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0" customHeight="1">
      <c r="A62" s="3"/>
      <c r="B62" s="3"/>
      <c r="C62" s="21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0" customHeight="1">
      <c r="A63" s="3"/>
      <c r="B63" s="3"/>
      <c r="C63" s="21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0" customHeight="1">
      <c r="A64" s="3"/>
      <c r="B64" s="3"/>
      <c r="C64" s="21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0" customHeight="1">
      <c r="A65" s="3"/>
      <c r="B65" s="3"/>
      <c r="C65" s="21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3"/>
      <c r="B66" s="3"/>
      <c r="C66" s="217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0" customHeight="1">
      <c r="A67" s="3"/>
      <c r="B67" s="3"/>
      <c r="C67" s="217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3"/>
      <c r="B68" s="3"/>
      <c r="C68" s="217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3"/>
      <c r="B69" s="3"/>
      <c r="C69" s="217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3"/>
      <c r="B70" s="3"/>
      <c r="C70" s="217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0" customHeight="1">
      <c r="A71" s="3"/>
      <c r="B71" s="3"/>
      <c r="C71" s="217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0" customHeight="1">
      <c r="A72" s="3"/>
      <c r="B72" s="3"/>
      <c r="C72" s="217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0" customHeight="1">
      <c r="A73" s="3"/>
      <c r="B73" s="3"/>
      <c r="C73" s="217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0" customHeight="1">
      <c r="A74" s="3"/>
      <c r="B74" s="3"/>
      <c r="C74" s="217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0" customHeight="1">
      <c r="A75" s="3"/>
      <c r="B75" s="3"/>
      <c r="C75" s="217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0" customHeight="1">
      <c r="A76" s="3"/>
      <c r="B76" s="3"/>
      <c r="C76" s="217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0" customHeight="1">
      <c r="A77" s="3"/>
      <c r="B77" s="3"/>
      <c r="C77" s="217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0" customHeight="1">
      <c r="A78" s="3"/>
      <c r="B78" s="3"/>
      <c r="C78" s="217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3"/>
      <c r="B79" s="3"/>
      <c r="C79" s="217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0" customHeight="1">
      <c r="A80" s="3"/>
      <c r="B80" s="3"/>
      <c r="C80" s="217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0" customHeight="1">
      <c r="A81" s="3"/>
      <c r="B81" s="3"/>
      <c r="C81" s="217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0" customHeight="1">
      <c r="A82" s="3"/>
      <c r="B82" s="3"/>
      <c r="C82" s="217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0" customHeight="1">
      <c r="A83" s="3"/>
      <c r="B83" s="3"/>
      <c r="C83" s="217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0" customHeight="1">
      <c r="A84" s="3"/>
      <c r="B84" s="3"/>
      <c r="C84" s="217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0" customHeight="1">
      <c r="A85" s="3"/>
      <c r="B85" s="3"/>
      <c r="C85" s="217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3"/>
      <c r="B86" s="3"/>
      <c r="C86" s="217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0" customHeight="1">
      <c r="A87" s="3"/>
      <c r="B87" s="3"/>
      <c r="C87" s="217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0" customHeight="1">
      <c r="A88" s="3"/>
      <c r="B88" s="3"/>
      <c r="C88" s="217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0" customHeight="1">
      <c r="A89" s="3"/>
      <c r="B89" s="3"/>
      <c r="C89" s="217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0" customHeight="1">
      <c r="A90" s="3"/>
      <c r="B90" s="3"/>
      <c r="C90" s="217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3"/>
      <c r="B91" s="3"/>
      <c r="C91" s="217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0" customHeight="1">
      <c r="A92" s="3"/>
      <c r="B92" s="3"/>
      <c r="C92" s="217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0" customHeight="1">
      <c r="A93" s="3"/>
      <c r="B93" s="3"/>
      <c r="C93" s="217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0" customHeight="1">
      <c r="A94" s="3"/>
      <c r="B94" s="3"/>
      <c r="C94" s="217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0" customHeight="1">
      <c r="A95" s="3"/>
      <c r="B95" s="3"/>
      <c r="C95" s="217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0" customHeight="1">
      <c r="A96" s="3"/>
      <c r="B96" s="3"/>
      <c r="C96" s="217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0" customHeight="1">
      <c r="A97" s="3"/>
      <c r="B97" s="3"/>
      <c r="C97" s="217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0" customHeight="1">
      <c r="A98" s="3"/>
      <c r="B98" s="3"/>
      <c r="C98" s="217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0" customHeight="1">
      <c r="A99" s="3"/>
      <c r="B99" s="3"/>
      <c r="C99" s="217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0" customHeight="1">
      <c r="A100" s="3"/>
      <c r="B100" s="3"/>
      <c r="C100" s="217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0" customHeight="1">
      <c r="A101" s="3"/>
      <c r="B101" s="3"/>
      <c r="C101" s="217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0" customHeight="1">
      <c r="A102" s="3"/>
      <c r="B102" s="3"/>
      <c r="C102" s="217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0" customHeight="1">
      <c r="A103" s="3"/>
      <c r="B103" s="3"/>
      <c r="C103" s="217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3"/>
      <c r="B104" s="3"/>
      <c r="C104" s="217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3"/>
      <c r="B105" s="3"/>
      <c r="C105" s="217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3"/>
      <c r="B106" s="3"/>
      <c r="C106" s="217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3"/>
      <c r="B107" s="3"/>
      <c r="C107" s="217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3"/>
      <c r="B108" s="3"/>
      <c r="C108" s="217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3"/>
      <c r="B109" s="3"/>
      <c r="C109" s="217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3"/>
      <c r="B110" s="3"/>
      <c r="C110" s="217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3"/>
      <c r="B111" s="3"/>
      <c r="C111" s="217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3"/>
      <c r="B112" s="3"/>
      <c r="C112" s="217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3"/>
      <c r="B113" s="3"/>
      <c r="C113" s="217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3"/>
      <c r="B114" s="3"/>
      <c r="C114" s="217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3"/>
      <c r="B115" s="3"/>
      <c r="C115" s="217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3"/>
      <c r="B116" s="3"/>
      <c r="C116" s="217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3"/>
      <c r="B117" s="3"/>
      <c r="C117" s="217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3"/>
      <c r="B118" s="3"/>
      <c r="C118" s="217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3"/>
      <c r="B119" s="3"/>
      <c r="C119" s="217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3"/>
      <c r="B120" s="3"/>
      <c r="C120" s="217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3"/>
      <c r="B121" s="3"/>
      <c r="C121" s="217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3"/>
      <c r="B122" s="3"/>
      <c r="C122" s="217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3"/>
      <c r="B123" s="3"/>
      <c r="C123" s="217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3"/>
      <c r="B124" s="3"/>
      <c r="C124" s="217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3"/>
      <c r="B125" s="3"/>
      <c r="C125" s="217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3"/>
      <c r="B126" s="3"/>
      <c r="C126" s="217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3"/>
      <c r="B127" s="3"/>
      <c r="C127" s="217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3"/>
      <c r="B128" s="3"/>
      <c r="C128" s="217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3"/>
      <c r="B129" s="3"/>
      <c r="C129" s="217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3"/>
      <c r="B130" s="3"/>
      <c r="C130" s="217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3"/>
      <c r="B131" s="3"/>
      <c r="C131" s="217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3"/>
      <c r="B132" s="3"/>
      <c r="C132" s="217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3"/>
      <c r="B133" s="3"/>
      <c r="C133" s="217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3"/>
      <c r="B134" s="3"/>
      <c r="C134" s="217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3"/>
      <c r="B135" s="3"/>
      <c r="C135" s="217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3"/>
      <c r="B136" s="3"/>
      <c r="C136" s="217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3"/>
      <c r="B137" s="3"/>
      <c r="C137" s="217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3"/>
      <c r="B138" s="3"/>
      <c r="C138" s="217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3"/>
      <c r="B139" s="3"/>
      <c r="C139" s="217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3"/>
      <c r="B140" s="3"/>
      <c r="C140" s="217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3"/>
      <c r="B141" s="3"/>
      <c r="C141" s="217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3"/>
      <c r="B142" s="3"/>
      <c r="C142" s="217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3"/>
      <c r="B143" s="3"/>
      <c r="C143" s="217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3"/>
      <c r="B144" s="3"/>
      <c r="C144" s="217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3"/>
      <c r="B145" s="3"/>
      <c r="C145" s="217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3"/>
      <c r="B146" s="3"/>
      <c r="C146" s="217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3"/>
      <c r="B147" s="3"/>
      <c r="C147" s="217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3"/>
      <c r="B148" s="3"/>
      <c r="C148" s="217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3"/>
      <c r="B149" s="3"/>
      <c r="C149" s="217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3"/>
      <c r="B150" s="3"/>
      <c r="C150" s="217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3"/>
      <c r="B151" s="3"/>
      <c r="C151" s="217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3"/>
      <c r="B152" s="3"/>
      <c r="C152" s="217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3"/>
      <c r="B153" s="3"/>
      <c r="C153" s="217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3"/>
      <c r="B154" s="3"/>
      <c r="C154" s="217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3"/>
      <c r="B155" s="3"/>
      <c r="C155" s="217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3"/>
      <c r="B156" s="3"/>
      <c r="C156" s="217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3"/>
      <c r="B157" s="3"/>
      <c r="C157" s="217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3"/>
      <c r="B158" s="3"/>
      <c r="C158" s="217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3"/>
      <c r="B159" s="3"/>
      <c r="C159" s="217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3"/>
      <c r="B160" s="3"/>
      <c r="C160" s="217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3"/>
      <c r="B161" s="3"/>
      <c r="C161" s="217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3"/>
      <c r="B162" s="3"/>
      <c r="C162" s="217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3"/>
      <c r="B163" s="3"/>
      <c r="C163" s="217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3"/>
      <c r="B164" s="3"/>
      <c r="C164" s="217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3"/>
      <c r="B165" s="3"/>
      <c r="C165" s="217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3"/>
      <c r="B166" s="3"/>
      <c r="C166" s="217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3"/>
      <c r="B167" s="3"/>
      <c r="C167" s="217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3"/>
      <c r="B168" s="3"/>
      <c r="C168" s="217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3"/>
      <c r="B169" s="3"/>
      <c r="C169" s="217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3"/>
      <c r="B170" s="3"/>
      <c r="C170" s="217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3"/>
      <c r="B171" s="3"/>
      <c r="C171" s="217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3"/>
      <c r="B172" s="3"/>
      <c r="C172" s="217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3"/>
      <c r="B173" s="3"/>
      <c r="C173" s="217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3"/>
      <c r="B174" s="3"/>
      <c r="C174" s="217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3"/>
      <c r="B175" s="3"/>
      <c r="C175" s="217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3"/>
      <c r="B176" s="3"/>
      <c r="C176" s="217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3"/>
      <c r="B177" s="3"/>
      <c r="C177" s="217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3"/>
      <c r="B178" s="3"/>
      <c r="C178" s="217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3"/>
      <c r="B179" s="3"/>
      <c r="C179" s="217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3"/>
      <c r="B180" s="3"/>
      <c r="C180" s="217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3"/>
      <c r="B181" s="3"/>
      <c r="C181" s="217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3"/>
      <c r="B182" s="3"/>
      <c r="C182" s="217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3"/>
      <c r="B183" s="3"/>
      <c r="C183" s="217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3"/>
      <c r="B184" s="3"/>
      <c r="C184" s="217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3"/>
      <c r="B185" s="3"/>
      <c r="C185" s="217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3"/>
      <c r="B186" s="3"/>
      <c r="C186" s="217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3"/>
      <c r="B187" s="3"/>
      <c r="C187" s="217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3"/>
      <c r="B188" s="3"/>
      <c r="C188" s="217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3"/>
      <c r="B189" s="3"/>
      <c r="C189" s="217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3"/>
      <c r="B190" s="3"/>
      <c r="C190" s="217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3"/>
      <c r="B191" s="3"/>
      <c r="C191" s="217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3"/>
      <c r="B192" s="3"/>
      <c r="C192" s="217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3"/>
      <c r="B193" s="3"/>
      <c r="C193" s="217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3"/>
      <c r="B194" s="3"/>
      <c r="C194" s="217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3"/>
      <c r="B195" s="3"/>
      <c r="C195" s="217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3"/>
      <c r="B196" s="3"/>
      <c r="C196" s="217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3"/>
      <c r="B197" s="3"/>
      <c r="C197" s="217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3"/>
      <c r="B198" s="3"/>
      <c r="C198" s="217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3"/>
      <c r="B199" s="3"/>
      <c r="C199" s="217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3"/>
      <c r="B200" s="3"/>
      <c r="C200" s="217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3"/>
      <c r="B201" s="3"/>
      <c r="C201" s="217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3"/>
      <c r="B202" s="3"/>
      <c r="C202" s="217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3"/>
      <c r="B203" s="3"/>
      <c r="C203" s="217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3"/>
      <c r="B204" s="3"/>
      <c r="C204" s="217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3"/>
      <c r="B205" s="3"/>
      <c r="C205" s="217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3"/>
      <c r="B206" s="3"/>
      <c r="C206" s="217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3"/>
      <c r="B207" s="3"/>
      <c r="C207" s="217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3"/>
      <c r="B208" s="3"/>
      <c r="C208" s="217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3"/>
      <c r="B209" s="3"/>
      <c r="C209" s="217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3"/>
      <c r="B210" s="3"/>
      <c r="C210" s="217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3"/>
      <c r="B211" s="3"/>
      <c r="C211" s="217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3"/>
      <c r="B212" s="3"/>
      <c r="C212" s="217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3"/>
      <c r="B213" s="3"/>
      <c r="C213" s="217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3"/>
      <c r="B214" s="3"/>
      <c r="C214" s="217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3"/>
      <c r="B215" s="3"/>
      <c r="C215" s="217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3"/>
      <c r="B216" s="3"/>
      <c r="C216" s="217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3"/>
      <c r="B217" s="3"/>
      <c r="C217" s="217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3"/>
      <c r="B218" s="3"/>
      <c r="C218" s="217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3"/>
      <c r="B219" s="3"/>
      <c r="C219" s="217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3"/>
      <c r="B220" s="3"/>
      <c r="C220" s="217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3"/>
      <c r="B221" s="3"/>
      <c r="C221" s="217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3"/>
      <c r="B222" s="3"/>
      <c r="C222" s="217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3"/>
      <c r="B223" s="3"/>
      <c r="C223" s="217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3"/>
      <c r="B224" s="3"/>
      <c r="C224" s="217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0" customHeight="1">
      <c r="A225" s="3"/>
      <c r="B225" s="3"/>
      <c r="C225" s="217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0" customHeight="1">
      <c r="A226" s="3"/>
      <c r="B226" s="3"/>
      <c r="C226" s="217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0" customHeight="1">
      <c r="A227" s="3"/>
      <c r="B227" s="3"/>
      <c r="C227" s="217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0" customHeight="1">
      <c r="A228" s="3"/>
      <c r="B228" s="3"/>
      <c r="C228" s="217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0" customHeight="1">
      <c r="A229" s="3"/>
      <c r="B229" s="3"/>
      <c r="C229" s="217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0" customHeight="1">
      <c r="A230" s="3"/>
      <c r="B230" s="3"/>
      <c r="C230" s="217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3"/>
      <c r="B231" s="3"/>
      <c r="C231" s="217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0" customHeight="1">
      <c r="A232" s="3"/>
      <c r="B232" s="3"/>
      <c r="C232" s="217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0" customHeight="1">
      <c r="A233" s="3"/>
      <c r="B233" s="3"/>
      <c r="C233" s="217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0" customHeight="1">
      <c r="A234" s="3"/>
      <c r="B234" s="3"/>
      <c r="C234" s="217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0" customHeight="1">
      <c r="A235" s="3"/>
      <c r="B235" s="3"/>
      <c r="C235" s="217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0" customHeight="1">
      <c r="A236" s="3"/>
      <c r="B236" s="3"/>
      <c r="C236" s="217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0" customHeight="1">
      <c r="A237" s="3"/>
      <c r="B237" s="3"/>
      <c r="C237" s="217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0" customHeight="1">
      <c r="A238" s="3"/>
      <c r="B238" s="3"/>
      <c r="C238" s="217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0" customHeight="1">
      <c r="A239" s="3"/>
      <c r="B239" s="3"/>
      <c r="C239" s="217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0" customHeight="1">
      <c r="A240" s="3"/>
      <c r="B240" s="3"/>
      <c r="C240" s="217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0" customHeight="1">
      <c r="A241" s="3"/>
      <c r="B241" s="3"/>
      <c r="C241" s="217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0" customHeight="1">
      <c r="A242" s="3"/>
      <c r="B242" s="3"/>
      <c r="C242" s="217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0" customHeight="1">
      <c r="A243" s="3"/>
      <c r="B243" s="3"/>
      <c r="C243" s="217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0" customHeight="1">
      <c r="A244" s="3"/>
      <c r="B244" s="3"/>
      <c r="C244" s="217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0" customHeight="1">
      <c r="A245" s="3"/>
      <c r="B245" s="3"/>
      <c r="C245" s="217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0" customHeight="1">
      <c r="A246" s="3"/>
      <c r="B246" s="3"/>
      <c r="C246" s="217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0" customHeight="1">
      <c r="A247" s="3"/>
      <c r="B247" s="3"/>
      <c r="C247" s="217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0" customHeight="1">
      <c r="A248" s="3"/>
      <c r="B248" s="3"/>
      <c r="C248" s="217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0" customHeight="1">
      <c r="A249" s="3"/>
      <c r="B249" s="3"/>
      <c r="C249" s="217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0" customHeight="1">
      <c r="A250" s="3"/>
      <c r="B250" s="3"/>
      <c r="C250" s="217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0" customHeight="1">
      <c r="A251" s="3"/>
      <c r="B251" s="3"/>
      <c r="C251" s="217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0" customHeight="1">
      <c r="A252" s="3"/>
      <c r="B252" s="3"/>
      <c r="C252" s="217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0" customHeight="1">
      <c r="A253" s="3"/>
      <c r="B253" s="3"/>
      <c r="C253" s="217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0" customHeight="1">
      <c r="A254" s="3"/>
      <c r="B254" s="3"/>
      <c r="C254" s="217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0" customHeight="1">
      <c r="A255" s="3"/>
      <c r="B255" s="3"/>
      <c r="C255" s="217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0" customHeight="1">
      <c r="A256" s="3"/>
      <c r="B256" s="3"/>
      <c r="C256" s="217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0" customHeight="1">
      <c r="A257" s="3"/>
      <c r="B257" s="3"/>
      <c r="C257" s="217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0" customHeight="1">
      <c r="A258" s="3"/>
      <c r="B258" s="3"/>
      <c r="C258" s="217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0" customHeight="1">
      <c r="A259" s="3"/>
      <c r="B259" s="3"/>
      <c r="C259" s="217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0" customHeight="1">
      <c r="A260" s="3"/>
      <c r="B260" s="3"/>
      <c r="C260" s="217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0" customHeight="1">
      <c r="A261" s="3"/>
      <c r="B261" s="3"/>
      <c r="C261" s="217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0" customHeight="1">
      <c r="A262" s="3"/>
      <c r="B262" s="3"/>
      <c r="C262" s="217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0" customHeight="1">
      <c r="A263" s="3"/>
      <c r="B263" s="3"/>
      <c r="C263" s="217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0" customHeight="1">
      <c r="A264" s="3"/>
      <c r="B264" s="3"/>
      <c r="C264" s="217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0" customHeight="1">
      <c r="A265" s="3"/>
      <c r="B265" s="3"/>
      <c r="C265" s="217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0" customHeight="1">
      <c r="A266" s="3"/>
      <c r="B266" s="3"/>
      <c r="C266" s="217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0" customHeight="1">
      <c r="A267" s="3"/>
      <c r="B267" s="3"/>
      <c r="C267" s="217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0" customHeight="1">
      <c r="A268" s="3"/>
      <c r="B268" s="3"/>
      <c r="C268" s="217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0" customHeight="1">
      <c r="A269" s="3"/>
      <c r="B269" s="3"/>
      <c r="C269" s="217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0" customHeight="1">
      <c r="A270" s="3"/>
      <c r="B270" s="3"/>
      <c r="C270" s="217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0" customHeight="1">
      <c r="A271" s="3"/>
      <c r="B271" s="3"/>
      <c r="C271" s="217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0" customHeight="1">
      <c r="A272" s="3"/>
      <c r="B272" s="3"/>
      <c r="C272" s="217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0" customHeight="1">
      <c r="A273" s="3"/>
      <c r="B273" s="3"/>
      <c r="C273" s="217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0" customHeight="1">
      <c r="A274" s="3"/>
      <c r="B274" s="3"/>
      <c r="C274" s="217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0" customHeight="1">
      <c r="A275" s="3"/>
      <c r="B275" s="3"/>
      <c r="C275" s="217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0" customHeight="1">
      <c r="A276" s="3"/>
      <c r="B276" s="3"/>
      <c r="C276" s="217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0" customHeight="1">
      <c r="A277" s="3"/>
      <c r="B277" s="3"/>
      <c r="C277" s="217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0" customHeight="1">
      <c r="A278" s="3"/>
      <c r="B278" s="3"/>
      <c r="C278" s="217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0" customHeight="1">
      <c r="A279" s="3"/>
      <c r="B279" s="3"/>
      <c r="C279" s="217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0" customHeight="1">
      <c r="A280" s="3"/>
      <c r="B280" s="3"/>
      <c r="C280" s="217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0" customHeight="1">
      <c r="A281" s="3"/>
      <c r="B281" s="3"/>
      <c r="C281" s="217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0" customHeight="1">
      <c r="A282" s="3"/>
      <c r="B282" s="3"/>
      <c r="C282" s="217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0" customHeight="1">
      <c r="A283" s="3"/>
      <c r="B283" s="3"/>
      <c r="C283" s="217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0" customHeight="1">
      <c r="A284" s="3"/>
      <c r="B284" s="3"/>
      <c r="C284" s="217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0" customHeight="1">
      <c r="A285" s="3"/>
      <c r="B285" s="3"/>
      <c r="C285" s="217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0" customHeight="1">
      <c r="A286" s="3"/>
      <c r="B286" s="3"/>
      <c r="C286" s="217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0" customHeight="1">
      <c r="A287" s="3"/>
      <c r="B287" s="3"/>
      <c r="C287" s="217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0" customHeight="1">
      <c r="A288" s="3"/>
      <c r="B288" s="3"/>
      <c r="C288" s="217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0" customHeight="1">
      <c r="A289" s="3"/>
      <c r="B289" s="3"/>
      <c r="C289" s="217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0" customHeight="1">
      <c r="A290" s="3"/>
      <c r="B290" s="3"/>
      <c r="C290" s="217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0" customHeight="1">
      <c r="A291" s="3"/>
      <c r="B291" s="3"/>
      <c r="C291" s="217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0" customHeight="1">
      <c r="A292" s="3"/>
      <c r="B292" s="3"/>
      <c r="C292" s="217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0" customHeight="1">
      <c r="A293" s="3"/>
      <c r="B293" s="3"/>
      <c r="C293" s="217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0" customHeight="1">
      <c r="A294" s="3"/>
      <c r="B294" s="3"/>
      <c r="C294" s="217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0" customHeight="1">
      <c r="A295" s="3"/>
      <c r="B295" s="3"/>
      <c r="C295" s="217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0" customHeight="1">
      <c r="A296" s="3"/>
      <c r="B296" s="3"/>
      <c r="C296" s="217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0" customHeight="1">
      <c r="A297" s="3"/>
      <c r="B297" s="3"/>
      <c r="C297" s="217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0" customHeight="1">
      <c r="A298" s="3"/>
      <c r="B298" s="3"/>
      <c r="C298" s="217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0" customHeight="1">
      <c r="A299" s="3"/>
      <c r="B299" s="3"/>
      <c r="C299" s="217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0" customHeight="1">
      <c r="A300" s="3"/>
      <c r="B300" s="3"/>
      <c r="C300" s="217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0" customHeight="1">
      <c r="A301" s="3"/>
      <c r="B301" s="3"/>
      <c r="C301" s="217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0" customHeight="1">
      <c r="A302" s="3"/>
      <c r="B302" s="3"/>
      <c r="C302" s="217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0" customHeight="1">
      <c r="A303" s="3"/>
      <c r="B303" s="3"/>
      <c r="C303" s="217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0" customHeight="1">
      <c r="A304" s="3"/>
      <c r="B304" s="3"/>
      <c r="C304" s="217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0" customHeight="1">
      <c r="A305" s="3"/>
      <c r="B305" s="3"/>
      <c r="C305" s="217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0" customHeight="1">
      <c r="A306" s="3"/>
      <c r="B306" s="3"/>
      <c r="C306" s="217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0" customHeight="1">
      <c r="A307" s="3"/>
      <c r="B307" s="3"/>
      <c r="C307" s="217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0" customHeight="1">
      <c r="A308" s="3"/>
      <c r="B308" s="3"/>
      <c r="C308" s="217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0" customHeight="1">
      <c r="A309" s="3"/>
      <c r="B309" s="3"/>
      <c r="C309" s="217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0" customHeight="1">
      <c r="A310" s="3"/>
      <c r="B310" s="3"/>
      <c r="C310" s="217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0" customHeight="1">
      <c r="A311" s="3"/>
      <c r="B311" s="3"/>
      <c r="C311" s="217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0" customHeight="1">
      <c r="A312" s="3"/>
      <c r="B312" s="3"/>
      <c r="C312" s="217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0" customHeight="1">
      <c r="A313" s="3"/>
      <c r="B313" s="3"/>
      <c r="C313" s="217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0" customHeight="1">
      <c r="A314" s="3"/>
      <c r="B314" s="3"/>
      <c r="C314" s="217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0" customHeight="1">
      <c r="A315" s="3"/>
      <c r="B315" s="3"/>
      <c r="C315" s="217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0" customHeight="1">
      <c r="A316" s="3"/>
      <c r="B316" s="3"/>
      <c r="C316" s="217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0" customHeight="1">
      <c r="A317" s="3"/>
      <c r="B317" s="3"/>
      <c r="C317" s="217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0" customHeight="1">
      <c r="A318" s="3"/>
      <c r="B318" s="3"/>
      <c r="C318" s="217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0" customHeight="1">
      <c r="A319" s="3"/>
      <c r="B319" s="3"/>
      <c r="C319" s="217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0" customHeight="1">
      <c r="A320" s="3"/>
      <c r="B320" s="3"/>
      <c r="C320" s="217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0" customHeight="1">
      <c r="A321" s="3"/>
      <c r="B321" s="3"/>
      <c r="C321" s="217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0" customHeight="1">
      <c r="A322" s="3"/>
      <c r="B322" s="3"/>
      <c r="C322" s="217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0" customHeight="1">
      <c r="A323" s="3"/>
      <c r="B323" s="3"/>
      <c r="C323" s="217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0" customHeight="1">
      <c r="A324" s="3"/>
      <c r="B324" s="3"/>
      <c r="C324" s="217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0" customHeight="1">
      <c r="A325" s="3"/>
      <c r="B325" s="3"/>
      <c r="C325" s="217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0" customHeight="1">
      <c r="A326" s="3"/>
      <c r="B326" s="3"/>
      <c r="C326" s="217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0" customHeight="1">
      <c r="A327" s="3"/>
      <c r="B327" s="3"/>
      <c r="C327" s="217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0" customHeight="1">
      <c r="A328" s="3"/>
      <c r="B328" s="3"/>
      <c r="C328" s="217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0" customHeight="1">
      <c r="A329" s="3"/>
      <c r="B329" s="3"/>
      <c r="C329" s="217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0" customHeight="1">
      <c r="A330" s="3"/>
      <c r="B330" s="3"/>
      <c r="C330" s="217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0" customHeight="1">
      <c r="A331" s="3"/>
      <c r="B331" s="3"/>
      <c r="C331" s="217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0" customHeight="1">
      <c r="A332" s="3"/>
      <c r="B332" s="3"/>
      <c r="C332" s="217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0" customHeight="1">
      <c r="A333" s="3"/>
      <c r="B333" s="3"/>
      <c r="C333" s="217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0" customHeight="1">
      <c r="A334" s="3"/>
      <c r="B334" s="3"/>
      <c r="C334" s="217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0" customHeight="1">
      <c r="A335" s="3"/>
      <c r="B335" s="3"/>
      <c r="C335" s="217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0" customHeight="1">
      <c r="A336" s="3"/>
      <c r="B336" s="3"/>
      <c r="C336" s="217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0" customHeight="1">
      <c r="A337" s="3"/>
      <c r="B337" s="3"/>
      <c r="C337" s="217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0" customHeight="1">
      <c r="A338" s="3"/>
      <c r="B338" s="3"/>
      <c r="C338" s="217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0" customHeight="1">
      <c r="A339" s="3"/>
      <c r="B339" s="3"/>
      <c r="C339" s="217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0" customHeight="1">
      <c r="A340" s="3"/>
      <c r="B340" s="3"/>
      <c r="C340" s="217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0" customHeight="1">
      <c r="A341" s="3"/>
      <c r="B341" s="3"/>
      <c r="C341" s="217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0" customHeight="1">
      <c r="A342" s="3"/>
      <c r="B342" s="3"/>
      <c r="C342" s="217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0" customHeight="1">
      <c r="A343" s="3"/>
      <c r="B343" s="3"/>
      <c r="C343" s="217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0" customHeight="1">
      <c r="A344" s="3"/>
      <c r="B344" s="3"/>
      <c r="C344" s="217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0" customHeight="1">
      <c r="A345" s="3"/>
      <c r="B345" s="3"/>
      <c r="C345" s="217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0" customHeight="1">
      <c r="A346" s="3"/>
      <c r="B346" s="3"/>
      <c r="C346" s="217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0" customHeight="1">
      <c r="A347" s="3"/>
      <c r="B347" s="3"/>
      <c r="C347" s="217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0" customHeight="1">
      <c r="A348" s="3"/>
      <c r="B348" s="3"/>
      <c r="C348" s="217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0" customHeight="1">
      <c r="A349" s="3"/>
      <c r="B349" s="3"/>
      <c r="C349" s="217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0" customHeight="1">
      <c r="A350" s="3"/>
      <c r="B350" s="3"/>
      <c r="C350" s="217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0" customHeight="1">
      <c r="A351" s="3"/>
      <c r="B351" s="3"/>
      <c r="C351" s="217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0" customHeight="1">
      <c r="A352" s="3"/>
      <c r="B352" s="3"/>
      <c r="C352" s="217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0" customHeight="1">
      <c r="A353" s="3"/>
      <c r="B353" s="3"/>
      <c r="C353" s="217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0" customHeight="1">
      <c r="A354" s="3"/>
      <c r="B354" s="3"/>
      <c r="C354" s="217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0" customHeight="1">
      <c r="A355" s="3"/>
      <c r="B355" s="3"/>
      <c r="C355" s="217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0" customHeight="1">
      <c r="A356" s="3"/>
      <c r="B356" s="3"/>
      <c r="C356" s="217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0" customHeight="1">
      <c r="A357" s="3"/>
      <c r="B357" s="3"/>
      <c r="C357" s="217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0" customHeight="1">
      <c r="A358" s="3"/>
      <c r="B358" s="3"/>
      <c r="C358" s="217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0" customHeight="1">
      <c r="A359" s="3"/>
      <c r="B359" s="3"/>
      <c r="C359" s="217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0" customHeight="1">
      <c r="A360" s="3"/>
      <c r="B360" s="3"/>
      <c r="C360" s="217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0" customHeight="1">
      <c r="A361" s="3"/>
      <c r="B361" s="3"/>
      <c r="C361" s="217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0" customHeight="1">
      <c r="A362" s="3"/>
      <c r="B362" s="3"/>
      <c r="C362" s="217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0" customHeight="1">
      <c r="A363" s="3"/>
      <c r="B363" s="3"/>
      <c r="C363" s="217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0" customHeight="1">
      <c r="A364" s="3"/>
      <c r="B364" s="3"/>
      <c r="C364" s="217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0" customHeight="1">
      <c r="A365" s="3"/>
      <c r="B365" s="3"/>
      <c r="C365" s="217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0" customHeight="1">
      <c r="A366" s="3"/>
      <c r="B366" s="3"/>
      <c r="C366" s="217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0" customHeight="1">
      <c r="A367" s="3"/>
      <c r="B367" s="3"/>
      <c r="C367" s="217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0" customHeight="1">
      <c r="A368" s="3"/>
      <c r="B368" s="3"/>
      <c r="C368" s="217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0" customHeight="1">
      <c r="A369" s="3"/>
      <c r="B369" s="3"/>
      <c r="C369" s="217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0" customHeight="1">
      <c r="A370" s="3"/>
      <c r="B370" s="3"/>
      <c r="C370" s="217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0" customHeight="1">
      <c r="A371" s="3"/>
      <c r="B371" s="3"/>
      <c r="C371" s="217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0" customHeight="1">
      <c r="A372" s="3"/>
      <c r="B372" s="3"/>
      <c r="C372" s="217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0" customHeight="1">
      <c r="A373" s="3"/>
      <c r="B373" s="3"/>
      <c r="C373" s="217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0" customHeight="1">
      <c r="A374" s="3"/>
      <c r="B374" s="3"/>
      <c r="C374" s="217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0" customHeight="1">
      <c r="A375" s="3"/>
      <c r="B375" s="3"/>
      <c r="C375" s="217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0" customHeight="1">
      <c r="A376" s="3"/>
      <c r="B376" s="3"/>
      <c r="C376" s="217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0" customHeight="1">
      <c r="A377" s="3"/>
      <c r="B377" s="3"/>
      <c r="C377" s="217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0" customHeight="1">
      <c r="A378" s="3"/>
      <c r="B378" s="3"/>
      <c r="C378" s="217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0" customHeight="1">
      <c r="A379" s="3"/>
      <c r="B379" s="3"/>
      <c r="C379" s="217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0" customHeight="1">
      <c r="A380" s="3"/>
      <c r="B380" s="3"/>
      <c r="C380" s="217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0" customHeight="1">
      <c r="A381" s="3"/>
      <c r="B381" s="3"/>
      <c r="C381" s="217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0" customHeight="1">
      <c r="A382" s="3"/>
      <c r="B382" s="3"/>
      <c r="C382" s="217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0" customHeight="1">
      <c r="A383" s="3"/>
      <c r="B383" s="3"/>
      <c r="C383" s="217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0" customHeight="1">
      <c r="A384" s="3"/>
      <c r="B384" s="3"/>
      <c r="C384" s="217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0" customHeight="1">
      <c r="A385" s="3"/>
      <c r="B385" s="3"/>
      <c r="C385" s="217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0" customHeight="1">
      <c r="A386" s="3"/>
      <c r="B386" s="3"/>
      <c r="C386" s="217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0" customHeight="1">
      <c r="A387" s="3"/>
      <c r="B387" s="3"/>
      <c r="C387" s="217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0" customHeight="1">
      <c r="A388" s="3"/>
      <c r="B388" s="3"/>
      <c r="C388" s="217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0" customHeight="1">
      <c r="A389" s="3"/>
      <c r="B389" s="3"/>
      <c r="C389" s="217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0" customHeight="1">
      <c r="A390" s="3"/>
      <c r="B390" s="3"/>
      <c r="C390" s="217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0" customHeight="1">
      <c r="A391" s="3"/>
      <c r="B391" s="3"/>
      <c r="C391" s="217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0" customHeight="1">
      <c r="A392" s="3"/>
      <c r="B392" s="3"/>
      <c r="C392" s="217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0" customHeight="1">
      <c r="A393" s="3"/>
      <c r="B393" s="3"/>
      <c r="C393" s="217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0" customHeight="1">
      <c r="A394" s="3"/>
      <c r="B394" s="3"/>
      <c r="C394" s="217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0" customHeight="1">
      <c r="A395" s="3"/>
      <c r="B395" s="3"/>
      <c r="C395" s="217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0" customHeight="1">
      <c r="A396" s="3"/>
      <c r="B396" s="3"/>
      <c r="C396" s="217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0" customHeight="1">
      <c r="A397" s="3"/>
      <c r="B397" s="3"/>
      <c r="C397" s="217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0" customHeight="1">
      <c r="A398" s="3"/>
      <c r="B398" s="3"/>
      <c r="C398" s="217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0" customHeight="1">
      <c r="A399" s="3"/>
      <c r="B399" s="3"/>
      <c r="C399" s="217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0" customHeight="1">
      <c r="A400" s="3"/>
      <c r="B400" s="3"/>
      <c r="C400" s="217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0" customHeight="1">
      <c r="A401" s="3"/>
      <c r="B401" s="3"/>
      <c r="C401" s="217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0" customHeight="1">
      <c r="A402" s="3"/>
      <c r="B402" s="3"/>
      <c r="C402" s="217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0" customHeight="1">
      <c r="A403" s="3"/>
      <c r="B403" s="3"/>
      <c r="C403" s="217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0" customHeight="1">
      <c r="A404" s="3"/>
      <c r="B404" s="3"/>
      <c r="C404" s="217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0" customHeight="1">
      <c r="A405" s="3"/>
      <c r="B405" s="3"/>
      <c r="C405" s="217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0" customHeight="1">
      <c r="A406" s="3"/>
      <c r="B406" s="3"/>
      <c r="C406" s="217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0" customHeight="1">
      <c r="A407" s="3"/>
      <c r="B407" s="3"/>
      <c r="C407" s="217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0" customHeight="1">
      <c r="A408" s="3"/>
      <c r="B408" s="3"/>
      <c r="C408" s="217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0" customHeight="1">
      <c r="A409" s="3"/>
      <c r="B409" s="3"/>
      <c r="C409" s="217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0" customHeight="1">
      <c r="A410" s="3"/>
      <c r="B410" s="3"/>
      <c r="C410" s="217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0" customHeight="1">
      <c r="A411" s="3"/>
      <c r="B411" s="3"/>
      <c r="C411" s="217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0" customHeight="1">
      <c r="A412" s="3"/>
      <c r="B412" s="3"/>
      <c r="C412" s="217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0" customHeight="1">
      <c r="A413" s="3"/>
      <c r="B413" s="3"/>
      <c r="C413" s="217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0" customHeight="1">
      <c r="A414" s="3"/>
      <c r="B414" s="3"/>
      <c r="C414" s="217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0" customHeight="1">
      <c r="A415" s="3"/>
      <c r="B415" s="3"/>
      <c r="C415" s="217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0" customHeight="1">
      <c r="A416" s="3"/>
      <c r="B416" s="3"/>
      <c r="C416" s="217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0" customHeight="1">
      <c r="A417" s="3"/>
      <c r="B417" s="3"/>
      <c r="C417" s="217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0" customHeight="1">
      <c r="A418" s="3"/>
      <c r="B418" s="3"/>
      <c r="C418" s="217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0" customHeight="1">
      <c r="A419" s="3"/>
      <c r="B419" s="3"/>
      <c r="C419" s="217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0" customHeight="1">
      <c r="A420" s="3"/>
      <c r="B420" s="3"/>
      <c r="C420" s="217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0" customHeight="1">
      <c r="A421" s="3"/>
      <c r="B421" s="3"/>
      <c r="C421" s="217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0" customHeight="1">
      <c r="A422" s="3"/>
      <c r="B422" s="3"/>
      <c r="C422" s="217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0" customHeight="1">
      <c r="A423" s="3"/>
      <c r="B423" s="3"/>
      <c r="C423" s="217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0" customHeight="1">
      <c r="A424" s="3"/>
      <c r="B424" s="3"/>
      <c r="C424" s="217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0" customHeight="1">
      <c r="A425" s="3"/>
      <c r="B425" s="3"/>
      <c r="C425" s="217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0" customHeight="1">
      <c r="A426" s="3"/>
      <c r="B426" s="3"/>
      <c r="C426" s="217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0" customHeight="1">
      <c r="A427" s="3"/>
      <c r="B427" s="3"/>
      <c r="C427" s="217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0" customHeight="1">
      <c r="A428" s="3"/>
      <c r="B428" s="3"/>
      <c r="C428" s="217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0" customHeight="1">
      <c r="A429" s="3"/>
      <c r="B429" s="3"/>
      <c r="C429" s="217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0" customHeight="1">
      <c r="A430" s="3"/>
      <c r="B430" s="3"/>
      <c r="C430" s="217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0" customHeight="1">
      <c r="A431" s="3"/>
      <c r="B431" s="3"/>
      <c r="C431" s="217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0" customHeight="1">
      <c r="A432" s="3"/>
      <c r="B432" s="3"/>
      <c r="C432" s="217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0" customHeight="1">
      <c r="A433" s="3"/>
      <c r="B433" s="3"/>
      <c r="C433" s="217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0" customHeight="1">
      <c r="A434" s="3"/>
      <c r="B434" s="3"/>
      <c r="C434" s="217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0" customHeight="1">
      <c r="A435" s="3"/>
      <c r="B435" s="3"/>
      <c r="C435" s="217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0" customHeight="1">
      <c r="A436" s="3"/>
      <c r="B436" s="3"/>
      <c r="C436" s="217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0" customHeight="1">
      <c r="A437" s="3"/>
      <c r="B437" s="3"/>
      <c r="C437" s="217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0" customHeight="1">
      <c r="A438" s="3"/>
      <c r="B438" s="3"/>
      <c r="C438" s="217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0" customHeight="1">
      <c r="A439" s="3"/>
      <c r="B439" s="3"/>
      <c r="C439" s="217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0" customHeight="1">
      <c r="A440" s="3"/>
      <c r="B440" s="3"/>
      <c r="C440" s="217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0" customHeight="1">
      <c r="A441" s="3"/>
      <c r="B441" s="3"/>
      <c r="C441" s="217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0" customHeight="1">
      <c r="A442" s="3"/>
      <c r="B442" s="3"/>
      <c r="C442" s="217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0" customHeight="1">
      <c r="A443" s="3"/>
      <c r="B443" s="3"/>
      <c r="C443" s="217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0" customHeight="1">
      <c r="A444" s="3"/>
      <c r="B444" s="3"/>
      <c r="C444" s="217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0" customHeight="1">
      <c r="A445" s="3"/>
      <c r="B445" s="3"/>
      <c r="C445" s="217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0" customHeight="1">
      <c r="A446" s="3"/>
      <c r="B446" s="3"/>
      <c r="C446" s="217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0" customHeight="1">
      <c r="A447" s="3"/>
      <c r="B447" s="3"/>
      <c r="C447" s="217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0" customHeight="1">
      <c r="A448" s="3"/>
      <c r="B448" s="3"/>
      <c r="C448" s="217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0" customHeight="1">
      <c r="A449" s="3"/>
      <c r="B449" s="3"/>
      <c r="C449" s="217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0" customHeight="1">
      <c r="A450" s="3"/>
      <c r="B450" s="3"/>
      <c r="C450" s="217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0" customHeight="1">
      <c r="A451" s="3"/>
      <c r="B451" s="3"/>
      <c r="C451" s="217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0" customHeight="1">
      <c r="A452" s="3"/>
      <c r="B452" s="3"/>
      <c r="C452" s="217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0" customHeight="1">
      <c r="A453" s="3"/>
      <c r="B453" s="3"/>
      <c r="C453" s="217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0" customHeight="1">
      <c r="A454" s="3"/>
      <c r="B454" s="3"/>
      <c r="C454" s="217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0" customHeight="1">
      <c r="A455" s="3"/>
      <c r="B455" s="3"/>
      <c r="C455" s="217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0" customHeight="1">
      <c r="A456" s="3"/>
      <c r="B456" s="3"/>
      <c r="C456" s="217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0" customHeight="1">
      <c r="A457" s="3"/>
      <c r="B457" s="3"/>
      <c r="C457" s="217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0" customHeight="1">
      <c r="A458" s="3"/>
      <c r="B458" s="3"/>
      <c r="C458" s="217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0" customHeight="1">
      <c r="A459" s="3"/>
      <c r="B459" s="3"/>
      <c r="C459" s="217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0" customHeight="1">
      <c r="A460" s="3"/>
      <c r="B460" s="3"/>
      <c r="C460" s="217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0" customHeight="1">
      <c r="A461" s="3"/>
      <c r="B461" s="3"/>
      <c r="C461" s="217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0" customHeight="1">
      <c r="A462" s="3"/>
      <c r="B462" s="3"/>
      <c r="C462" s="217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0" customHeight="1">
      <c r="A463" s="3"/>
      <c r="B463" s="3"/>
      <c r="C463" s="217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0" customHeight="1">
      <c r="A464" s="3"/>
      <c r="B464" s="3"/>
      <c r="C464" s="217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0" customHeight="1">
      <c r="A465" s="3"/>
      <c r="B465" s="3"/>
      <c r="C465" s="217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0" customHeight="1">
      <c r="A466" s="3"/>
      <c r="B466" s="3"/>
      <c r="C466" s="217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0" customHeight="1">
      <c r="A467" s="3"/>
      <c r="B467" s="3"/>
      <c r="C467" s="217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0" customHeight="1">
      <c r="A468" s="3"/>
      <c r="B468" s="3"/>
      <c r="C468" s="217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0" customHeight="1">
      <c r="A469" s="3"/>
      <c r="B469" s="3"/>
      <c r="C469" s="217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0" customHeight="1">
      <c r="A470" s="3"/>
      <c r="B470" s="3"/>
      <c r="C470" s="217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0" customHeight="1">
      <c r="A471" s="3"/>
      <c r="B471" s="3"/>
      <c r="C471" s="217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0" customHeight="1">
      <c r="A472" s="3"/>
      <c r="B472" s="3"/>
      <c r="C472" s="217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0" customHeight="1">
      <c r="A473" s="3"/>
      <c r="B473" s="3"/>
      <c r="C473" s="217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0" customHeight="1">
      <c r="A474" s="3"/>
      <c r="B474" s="3"/>
      <c r="C474" s="217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0" customHeight="1">
      <c r="A475" s="3"/>
      <c r="B475" s="3"/>
      <c r="C475" s="217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0" customHeight="1">
      <c r="A476" s="3"/>
      <c r="B476" s="3"/>
      <c r="C476" s="217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0" customHeight="1">
      <c r="A477" s="3"/>
      <c r="B477" s="3"/>
      <c r="C477" s="217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0" customHeight="1">
      <c r="A478" s="3"/>
      <c r="B478" s="3"/>
      <c r="C478" s="217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0" customHeight="1">
      <c r="A479" s="3"/>
      <c r="B479" s="3"/>
      <c r="C479" s="217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0" customHeight="1">
      <c r="A480" s="3"/>
      <c r="B480" s="3"/>
      <c r="C480" s="217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0" customHeight="1">
      <c r="A481" s="3"/>
      <c r="B481" s="3"/>
      <c r="C481" s="21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0" customHeight="1">
      <c r="A482" s="3"/>
      <c r="B482" s="3"/>
      <c r="C482" s="217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0" customHeight="1">
      <c r="A483" s="3"/>
      <c r="B483" s="3"/>
      <c r="C483" s="217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0" customHeight="1">
      <c r="A484" s="3"/>
      <c r="B484" s="3"/>
      <c r="C484" s="217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0" customHeight="1">
      <c r="A485" s="3"/>
      <c r="B485" s="3"/>
      <c r="C485" s="217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0" customHeight="1">
      <c r="A486" s="3"/>
      <c r="B486" s="3"/>
      <c r="C486" s="217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0" customHeight="1">
      <c r="A487" s="3"/>
      <c r="B487" s="3"/>
      <c r="C487" s="217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0" customHeight="1">
      <c r="A488" s="3"/>
      <c r="B488" s="3"/>
      <c r="C488" s="217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0" customHeight="1">
      <c r="A489" s="3"/>
      <c r="B489" s="3"/>
      <c r="C489" s="217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0" customHeight="1">
      <c r="A490" s="3"/>
      <c r="B490" s="3"/>
      <c r="C490" s="217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0" customHeight="1">
      <c r="A491" s="3"/>
      <c r="B491" s="3"/>
      <c r="C491" s="217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0" customHeight="1">
      <c r="A492" s="3"/>
      <c r="B492" s="3"/>
      <c r="C492" s="217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0" customHeight="1">
      <c r="A493" s="3"/>
      <c r="B493" s="3"/>
      <c r="C493" s="217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0" customHeight="1">
      <c r="A494" s="3"/>
      <c r="B494" s="3"/>
      <c r="C494" s="217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0" customHeight="1">
      <c r="A495" s="3"/>
      <c r="B495" s="3"/>
      <c r="C495" s="217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0" customHeight="1">
      <c r="A496" s="3"/>
      <c r="B496" s="3"/>
      <c r="C496" s="217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0" customHeight="1">
      <c r="A497" s="3"/>
      <c r="B497" s="3"/>
      <c r="C497" s="217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0" customHeight="1">
      <c r="A498" s="3"/>
      <c r="B498" s="3"/>
      <c r="C498" s="217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0" customHeight="1">
      <c r="A499" s="3"/>
      <c r="B499" s="3"/>
      <c r="C499" s="217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0" customHeight="1">
      <c r="A500" s="3"/>
      <c r="B500" s="3"/>
      <c r="C500" s="217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0" customHeight="1">
      <c r="A501" s="3"/>
      <c r="B501" s="3"/>
      <c r="C501" s="217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0" customHeight="1">
      <c r="A502" s="3"/>
      <c r="B502" s="3"/>
      <c r="C502" s="217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0" customHeight="1">
      <c r="A503" s="3"/>
      <c r="B503" s="3"/>
      <c r="C503" s="217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0" customHeight="1">
      <c r="A504" s="3"/>
      <c r="B504" s="3"/>
      <c r="C504" s="217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0" customHeight="1">
      <c r="A505" s="3"/>
      <c r="B505" s="3"/>
      <c r="C505" s="217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0" customHeight="1">
      <c r="A506" s="3"/>
      <c r="B506" s="3"/>
      <c r="C506" s="217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0" customHeight="1">
      <c r="A507" s="3"/>
      <c r="B507" s="3"/>
      <c r="C507" s="217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0" customHeight="1">
      <c r="A508" s="3"/>
      <c r="B508" s="3"/>
      <c r="C508" s="21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0" customHeight="1">
      <c r="A509" s="3"/>
      <c r="B509" s="3"/>
      <c r="C509" s="217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0" customHeight="1">
      <c r="A510" s="3"/>
      <c r="B510" s="3"/>
      <c r="C510" s="217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0" customHeight="1">
      <c r="A511" s="3"/>
      <c r="B511" s="3"/>
      <c r="C511" s="217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0" customHeight="1">
      <c r="A512" s="3"/>
      <c r="B512" s="3"/>
      <c r="C512" s="217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0" customHeight="1">
      <c r="A513" s="3"/>
      <c r="B513" s="3"/>
      <c r="C513" s="217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0" customHeight="1">
      <c r="A514" s="3"/>
      <c r="B514" s="3"/>
      <c r="C514" s="217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0" customHeight="1">
      <c r="A515" s="3"/>
      <c r="B515" s="3"/>
      <c r="C515" s="217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0" customHeight="1">
      <c r="A516" s="3"/>
      <c r="B516" s="3"/>
      <c r="C516" s="217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0" customHeight="1">
      <c r="A517" s="3"/>
      <c r="B517" s="3"/>
      <c r="C517" s="217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0" customHeight="1">
      <c r="A518" s="3"/>
      <c r="B518" s="3"/>
      <c r="C518" s="217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0" customHeight="1">
      <c r="A519" s="3"/>
      <c r="B519" s="3"/>
      <c r="C519" s="217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0" customHeight="1">
      <c r="A520" s="3"/>
      <c r="B520" s="3"/>
      <c r="C520" s="217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0" customHeight="1">
      <c r="A521" s="3"/>
      <c r="B521" s="3"/>
      <c r="C521" s="217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0" customHeight="1">
      <c r="A522" s="3"/>
      <c r="B522" s="3"/>
      <c r="C522" s="217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0" customHeight="1">
      <c r="A523" s="3"/>
      <c r="B523" s="3"/>
      <c r="C523" s="217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0" customHeight="1">
      <c r="A524" s="3"/>
      <c r="B524" s="3"/>
      <c r="C524" s="217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0" customHeight="1">
      <c r="A525" s="3"/>
      <c r="B525" s="3"/>
      <c r="C525" s="217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0" customHeight="1">
      <c r="A526" s="3"/>
      <c r="B526" s="3"/>
      <c r="C526" s="217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0" customHeight="1">
      <c r="A527" s="3"/>
      <c r="B527" s="3"/>
      <c r="C527" s="217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0" customHeight="1">
      <c r="A528" s="3"/>
      <c r="B528" s="3"/>
      <c r="C528" s="217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0" customHeight="1">
      <c r="A529" s="3"/>
      <c r="B529" s="3"/>
      <c r="C529" s="217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0" customHeight="1">
      <c r="A530" s="3"/>
      <c r="B530" s="3"/>
      <c r="C530" s="217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0" customHeight="1">
      <c r="A531" s="3"/>
      <c r="B531" s="3"/>
      <c r="C531" s="217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0" customHeight="1">
      <c r="A532" s="3"/>
      <c r="B532" s="3"/>
      <c r="C532" s="217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0" customHeight="1">
      <c r="A533" s="3"/>
      <c r="B533" s="3"/>
      <c r="C533" s="217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0" customHeight="1">
      <c r="A534" s="3"/>
      <c r="B534" s="3"/>
      <c r="C534" s="217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0" customHeight="1">
      <c r="A535" s="3"/>
      <c r="B535" s="3"/>
      <c r="C535" s="217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0" customHeight="1">
      <c r="A536" s="3"/>
      <c r="B536" s="3"/>
      <c r="C536" s="217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0" customHeight="1">
      <c r="A537" s="3"/>
      <c r="B537" s="3"/>
      <c r="C537" s="217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0" customHeight="1">
      <c r="A538" s="3"/>
      <c r="B538" s="3"/>
      <c r="C538" s="217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0" customHeight="1">
      <c r="A539" s="3"/>
      <c r="B539" s="3"/>
      <c r="C539" s="217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0" customHeight="1">
      <c r="A540" s="3"/>
      <c r="B540" s="3"/>
      <c r="C540" s="217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0" customHeight="1">
      <c r="A541" s="3"/>
      <c r="B541" s="3"/>
      <c r="C541" s="217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0" customHeight="1">
      <c r="A542" s="3"/>
      <c r="B542" s="3"/>
      <c r="C542" s="217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0" customHeight="1">
      <c r="A543" s="3"/>
      <c r="B543" s="3"/>
      <c r="C543" s="217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0" customHeight="1">
      <c r="A544" s="3"/>
      <c r="B544" s="3"/>
      <c r="C544" s="217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0" customHeight="1">
      <c r="A545" s="3"/>
      <c r="B545" s="3"/>
      <c r="C545" s="21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0" customHeight="1">
      <c r="A546" s="3"/>
      <c r="B546" s="3"/>
      <c r="C546" s="217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0" customHeight="1">
      <c r="A547" s="3"/>
      <c r="B547" s="3"/>
      <c r="C547" s="217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0" customHeight="1">
      <c r="A548" s="3"/>
      <c r="B548" s="3"/>
      <c r="C548" s="217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0" customHeight="1">
      <c r="A549" s="3"/>
      <c r="B549" s="3"/>
      <c r="C549" s="217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0" customHeight="1">
      <c r="A550" s="3"/>
      <c r="B550" s="3"/>
      <c r="C550" s="217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0" customHeight="1">
      <c r="A551" s="3"/>
      <c r="B551" s="3"/>
      <c r="C551" s="217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0" customHeight="1">
      <c r="A552" s="3"/>
      <c r="B552" s="3"/>
      <c r="C552" s="217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0" customHeight="1">
      <c r="A553" s="3"/>
      <c r="B553" s="3"/>
      <c r="C553" s="217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0" customHeight="1">
      <c r="A554" s="3"/>
      <c r="B554" s="3"/>
      <c r="C554" s="217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0" customHeight="1">
      <c r="A555" s="3"/>
      <c r="B555" s="3"/>
      <c r="C555" s="217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0" customHeight="1">
      <c r="A556" s="3"/>
      <c r="B556" s="3"/>
      <c r="C556" s="217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0" customHeight="1">
      <c r="A557" s="3"/>
      <c r="B557" s="3"/>
      <c r="C557" s="217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0" customHeight="1">
      <c r="A558" s="3"/>
      <c r="B558" s="3"/>
      <c r="C558" s="217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0" customHeight="1">
      <c r="A559" s="3"/>
      <c r="B559" s="3"/>
      <c r="C559" s="217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0" customHeight="1">
      <c r="A560" s="3"/>
      <c r="B560" s="3"/>
      <c r="C560" s="217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0" customHeight="1">
      <c r="A561" s="3"/>
      <c r="B561" s="3"/>
      <c r="C561" s="217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0" customHeight="1">
      <c r="A562" s="3"/>
      <c r="B562" s="3"/>
      <c r="C562" s="217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0" customHeight="1">
      <c r="A563" s="3"/>
      <c r="B563" s="3"/>
      <c r="C563" s="217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0" customHeight="1">
      <c r="A564" s="3"/>
      <c r="B564" s="3"/>
      <c r="C564" s="217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0" customHeight="1">
      <c r="A565" s="3"/>
      <c r="B565" s="3"/>
      <c r="C565" s="217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0" customHeight="1">
      <c r="A566" s="3"/>
      <c r="B566" s="3"/>
      <c r="C566" s="217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0" customHeight="1">
      <c r="A567" s="3"/>
      <c r="B567" s="3"/>
      <c r="C567" s="217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0" customHeight="1">
      <c r="A568" s="3"/>
      <c r="B568" s="3"/>
      <c r="C568" s="217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0" customHeight="1">
      <c r="A569" s="3"/>
      <c r="B569" s="3"/>
      <c r="C569" s="217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0" customHeight="1">
      <c r="A570" s="3"/>
      <c r="B570" s="3"/>
      <c r="C570" s="217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0" customHeight="1">
      <c r="A571" s="3"/>
      <c r="B571" s="3"/>
      <c r="C571" s="217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0" customHeight="1">
      <c r="A572" s="3"/>
      <c r="B572" s="3"/>
      <c r="C572" s="21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0" customHeight="1">
      <c r="A573" s="3"/>
      <c r="B573" s="3"/>
      <c r="C573" s="217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0" customHeight="1">
      <c r="A574" s="3"/>
      <c r="B574" s="3"/>
      <c r="C574" s="217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0" customHeight="1">
      <c r="A575" s="3"/>
      <c r="B575" s="3"/>
      <c r="C575" s="217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0" customHeight="1">
      <c r="A576" s="3"/>
      <c r="B576" s="3"/>
      <c r="C576" s="217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0" customHeight="1">
      <c r="A577" s="3"/>
      <c r="B577" s="3"/>
      <c r="C577" s="217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0" customHeight="1">
      <c r="A578" s="3"/>
      <c r="B578" s="3"/>
      <c r="C578" s="217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0" customHeight="1">
      <c r="A579" s="3"/>
      <c r="B579" s="3"/>
      <c r="C579" s="217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0" customHeight="1">
      <c r="A580" s="3"/>
      <c r="B580" s="3"/>
      <c r="C580" s="217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0" customHeight="1">
      <c r="A581" s="3"/>
      <c r="B581" s="3"/>
      <c r="C581" s="217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0" customHeight="1">
      <c r="A582" s="3"/>
      <c r="B582" s="3"/>
      <c r="C582" s="217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0" customHeight="1">
      <c r="A583" s="3"/>
      <c r="B583" s="3"/>
      <c r="C583" s="217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0" customHeight="1">
      <c r="A584" s="3"/>
      <c r="B584" s="3"/>
      <c r="C584" s="217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0" customHeight="1">
      <c r="A585" s="3"/>
      <c r="B585" s="3"/>
      <c r="C585" s="217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0" customHeight="1">
      <c r="A586" s="3"/>
      <c r="B586" s="3"/>
      <c r="C586" s="217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0" customHeight="1">
      <c r="A587" s="3"/>
      <c r="B587" s="3"/>
      <c r="C587" s="217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0" customHeight="1">
      <c r="A588" s="3"/>
      <c r="B588" s="3"/>
      <c r="C588" s="217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0" customHeight="1">
      <c r="A589" s="3"/>
      <c r="B589" s="3"/>
      <c r="C589" s="217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0" customHeight="1">
      <c r="A590" s="3"/>
      <c r="B590" s="3"/>
      <c r="C590" s="217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0" customHeight="1">
      <c r="A591" s="3"/>
      <c r="B591" s="3"/>
      <c r="C591" s="217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0" customHeight="1">
      <c r="A592" s="3"/>
      <c r="B592" s="3"/>
      <c r="C592" s="217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0" customHeight="1">
      <c r="A593" s="3"/>
      <c r="B593" s="3"/>
      <c r="C593" s="217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0" customHeight="1">
      <c r="A594" s="3"/>
      <c r="B594" s="3"/>
      <c r="C594" s="217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0" customHeight="1">
      <c r="A595" s="3"/>
      <c r="B595" s="3"/>
      <c r="C595" s="217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0" customHeight="1">
      <c r="A596" s="3"/>
      <c r="B596" s="3"/>
      <c r="C596" s="217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0" customHeight="1">
      <c r="A597" s="3"/>
      <c r="B597" s="3"/>
      <c r="C597" s="217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0" customHeight="1">
      <c r="A598" s="3"/>
      <c r="B598" s="3"/>
      <c r="C598" s="217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0" customHeight="1">
      <c r="A599" s="3"/>
      <c r="B599" s="3"/>
      <c r="C599" s="217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0" customHeight="1">
      <c r="A600" s="3"/>
      <c r="B600" s="3"/>
      <c r="C600" s="217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0" customHeight="1">
      <c r="A601" s="3"/>
      <c r="B601" s="3"/>
      <c r="C601" s="217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0" customHeight="1">
      <c r="A602" s="3"/>
      <c r="B602" s="3"/>
      <c r="C602" s="217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0" customHeight="1">
      <c r="A603" s="3"/>
      <c r="B603" s="3"/>
      <c r="C603" s="217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0" customHeight="1">
      <c r="A604" s="3"/>
      <c r="B604" s="3"/>
      <c r="C604" s="217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0" customHeight="1">
      <c r="A605" s="3"/>
      <c r="B605" s="3"/>
      <c r="C605" s="217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0" customHeight="1">
      <c r="A606" s="3"/>
      <c r="B606" s="3"/>
      <c r="C606" s="217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0" customHeight="1">
      <c r="A607" s="3"/>
      <c r="B607" s="3"/>
      <c r="C607" s="217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0" customHeight="1">
      <c r="A608" s="3"/>
      <c r="B608" s="3"/>
      <c r="C608" s="217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0" customHeight="1">
      <c r="A609" s="3"/>
      <c r="B609" s="3"/>
      <c r="C609" s="21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0" customHeight="1">
      <c r="A610" s="3"/>
      <c r="B610" s="3"/>
      <c r="C610" s="217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0" customHeight="1">
      <c r="A611" s="3"/>
      <c r="B611" s="3"/>
      <c r="C611" s="217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0" customHeight="1">
      <c r="A612" s="3"/>
      <c r="B612" s="3"/>
      <c r="C612" s="217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0" customHeight="1">
      <c r="A613" s="3"/>
      <c r="B613" s="3"/>
      <c r="C613" s="217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0" customHeight="1">
      <c r="A614" s="3"/>
      <c r="B614" s="3"/>
      <c r="C614" s="217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0" customHeight="1">
      <c r="A615" s="3"/>
      <c r="B615" s="3"/>
      <c r="C615" s="217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0" customHeight="1">
      <c r="A616" s="3"/>
      <c r="B616" s="3"/>
      <c r="C616" s="217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0" customHeight="1">
      <c r="A617" s="3"/>
      <c r="B617" s="3"/>
      <c r="C617" s="217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0" customHeight="1">
      <c r="A618" s="3"/>
      <c r="B618" s="3"/>
      <c r="C618" s="217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0" customHeight="1">
      <c r="A619" s="3"/>
      <c r="B619" s="3"/>
      <c r="C619" s="217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0" customHeight="1">
      <c r="A620" s="3"/>
      <c r="B620" s="3"/>
      <c r="C620" s="217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0" customHeight="1">
      <c r="A621" s="3"/>
      <c r="B621" s="3"/>
      <c r="C621" s="217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0" customHeight="1">
      <c r="A622" s="3"/>
      <c r="B622" s="3"/>
      <c r="C622" s="217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0" customHeight="1">
      <c r="A623" s="3"/>
      <c r="B623" s="3"/>
      <c r="C623" s="217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0" customHeight="1">
      <c r="A624" s="3"/>
      <c r="B624" s="3"/>
      <c r="C624" s="217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0" customHeight="1">
      <c r="A625" s="3"/>
      <c r="B625" s="3"/>
      <c r="C625" s="217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0" customHeight="1">
      <c r="A626" s="3"/>
      <c r="B626" s="3"/>
      <c r="C626" s="217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0" customHeight="1">
      <c r="A627" s="3"/>
      <c r="B627" s="3"/>
      <c r="C627" s="217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0" customHeight="1">
      <c r="A628" s="3"/>
      <c r="B628" s="3"/>
      <c r="C628" s="217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0" customHeight="1">
      <c r="A629" s="3"/>
      <c r="B629" s="3"/>
      <c r="C629" s="217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0" customHeight="1">
      <c r="A630" s="3"/>
      <c r="B630" s="3"/>
      <c r="C630" s="217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0" customHeight="1">
      <c r="A631" s="3"/>
      <c r="B631" s="3"/>
      <c r="C631" s="217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0" customHeight="1">
      <c r="A632" s="3"/>
      <c r="B632" s="3"/>
      <c r="C632" s="217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0" customHeight="1">
      <c r="A633" s="3"/>
      <c r="B633" s="3"/>
      <c r="C633" s="217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0" customHeight="1">
      <c r="A634" s="3"/>
      <c r="B634" s="3"/>
      <c r="C634" s="217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0" customHeight="1">
      <c r="A635" s="3"/>
      <c r="B635" s="3"/>
      <c r="C635" s="217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0" customHeight="1">
      <c r="A636" s="3"/>
      <c r="B636" s="3"/>
      <c r="C636" s="21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0" customHeight="1">
      <c r="A637" s="3"/>
      <c r="B637" s="3"/>
      <c r="C637" s="217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0" customHeight="1">
      <c r="A638" s="3"/>
      <c r="B638" s="3"/>
      <c r="C638" s="217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0" customHeight="1">
      <c r="A639" s="3"/>
      <c r="B639" s="3"/>
      <c r="C639" s="217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0" customHeight="1">
      <c r="A640" s="3"/>
      <c r="B640" s="3"/>
      <c r="C640" s="217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0" customHeight="1">
      <c r="A641" s="3"/>
      <c r="B641" s="3"/>
      <c r="C641" s="217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0" customHeight="1">
      <c r="A642" s="3"/>
      <c r="B642" s="3"/>
      <c r="C642" s="217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0" customHeight="1">
      <c r="A643" s="3"/>
      <c r="B643" s="3"/>
      <c r="C643" s="217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0" customHeight="1">
      <c r="A644" s="3"/>
      <c r="B644" s="3"/>
      <c r="C644" s="217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0" customHeight="1">
      <c r="A645" s="3"/>
      <c r="B645" s="3"/>
      <c r="C645" s="217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0" customHeight="1">
      <c r="A646" s="3"/>
      <c r="B646" s="3"/>
      <c r="C646" s="217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0" customHeight="1">
      <c r="A647" s="3"/>
      <c r="B647" s="3"/>
      <c r="C647" s="217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0" customHeight="1">
      <c r="A648" s="3"/>
      <c r="B648" s="3"/>
      <c r="C648" s="217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0" customHeight="1">
      <c r="A649" s="3"/>
      <c r="B649" s="3"/>
      <c r="C649" s="217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0" customHeight="1">
      <c r="A650" s="3"/>
      <c r="B650" s="3"/>
      <c r="C650" s="217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0" customHeight="1">
      <c r="A651" s="3"/>
      <c r="B651" s="3"/>
      <c r="C651" s="217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0" customHeight="1">
      <c r="A652" s="3"/>
      <c r="B652" s="3"/>
      <c r="C652" s="217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0" customHeight="1">
      <c r="A653" s="3"/>
      <c r="B653" s="3"/>
      <c r="C653" s="217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0" customHeight="1">
      <c r="A654" s="3"/>
      <c r="B654" s="3"/>
      <c r="C654" s="217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0" customHeight="1">
      <c r="A655" s="3"/>
      <c r="B655" s="3"/>
      <c r="C655" s="217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0" customHeight="1">
      <c r="A656" s="3"/>
      <c r="B656" s="3"/>
      <c r="C656" s="217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0" customHeight="1">
      <c r="A657" s="3"/>
      <c r="B657" s="3"/>
      <c r="C657" s="217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0" customHeight="1">
      <c r="A658" s="3"/>
      <c r="B658" s="3"/>
      <c r="C658" s="217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0" customHeight="1">
      <c r="A659" s="3"/>
      <c r="B659" s="3"/>
      <c r="C659" s="217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0" customHeight="1">
      <c r="A660" s="3"/>
      <c r="B660" s="3"/>
      <c r="C660" s="217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0" customHeight="1">
      <c r="A661" s="3"/>
      <c r="B661" s="3"/>
      <c r="C661" s="217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0" customHeight="1">
      <c r="A662" s="3"/>
      <c r="B662" s="3"/>
      <c r="C662" s="217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0" customHeight="1">
      <c r="A663" s="3"/>
      <c r="B663" s="3"/>
      <c r="C663" s="217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0" customHeight="1">
      <c r="A664" s="3"/>
      <c r="B664" s="3"/>
      <c r="C664" s="217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0" customHeight="1">
      <c r="A665" s="3"/>
      <c r="B665" s="3"/>
      <c r="C665" s="217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0" customHeight="1">
      <c r="A666" s="3"/>
      <c r="B666" s="3"/>
      <c r="C666" s="217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0" customHeight="1">
      <c r="A667" s="3"/>
      <c r="B667" s="3"/>
      <c r="C667" s="217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0" customHeight="1">
      <c r="A668" s="3"/>
      <c r="B668" s="3"/>
      <c r="C668" s="217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0" customHeight="1">
      <c r="A669" s="3"/>
      <c r="B669" s="3"/>
      <c r="C669" s="217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0" customHeight="1">
      <c r="A670" s="3"/>
      <c r="B670" s="3"/>
      <c r="C670" s="217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0" customHeight="1">
      <c r="A671" s="3"/>
      <c r="B671" s="3"/>
      <c r="C671" s="217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0" customHeight="1">
      <c r="A672" s="3"/>
      <c r="B672" s="3"/>
      <c r="C672" s="217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0" customHeight="1">
      <c r="A673" s="3"/>
      <c r="B673" s="3"/>
      <c r="C673" s="21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0" customHeight="1">
      <c r="A674" s="3"/>
      <c r="B674" s="3"/>
      <c r="C674" s="217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0" customHeight="1">
      <c r="A675" s="3"/>
      <c r="B675" s="3"/>
      <c r="C675" s="217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0" customHeight="1">
      <c r="A676" s="3"/>
      <c r="B676" s="3"/>
      <c r="C676" s="217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0" customHeight="1">
      <c r="A677" s="3"/>
      <c r="B677" s="3"/>
      <c r="C677" s="217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0" customHeight="1">
      <c r="A678" s="3"/>
      <c r="B678" s="3"/>
      <c r="C678" s="217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0" customHeight="1">
      <c r="A679" s="3"/>
      <c r="B679" s="3"/>
      <c r="C679" s="217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0" customHeight="1">
      <c r="A680" s="3"/>
      <c r="B680" s="3"/>
      <c r="C680" s="217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0" customHeight="1">
      <c r="A681" s="3"/>
      <c r="B681" s="3"/>
      <c r="C681" s="217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0" customHeight="1">
      <c r="A682" s="3"/>
      <c r="B682" s="3"/>
      <c r="C682" s="217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0" customHeight="1">
      <c r="A683" s="3"/>
      <c r="B683" s="3"/>
      <c r="C683" s="217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0" customHeight="1">
      <c r="A684" s="3"/>
      <c r="B684" s="3"/>
      <c r="C684" s="217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0" customHeight="1">
      <c r="A685" s="3"/>
      <c r="B685" s="3"/>
      <c r="C685" s="217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0" customHeight="1">
      <c r="A686" s="3"/>
      <c r="B686" s="3"/>
      <c r="C686" s="217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0" customHeight="1">
      <c r="A687" s="3"/>
      <c r="B687" s="3"/>
      <c r="C687" s="217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0" customHeight="1">
      <c r="A688" s="3"/>
      <c r="B688" s="3"/>
      <c r="C688" s="217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0" customHeight="1">
      <c r="A689" s="3"/>
      <c r="B689" s="3"/>
      <c r="C689" s="217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0" customHeight="1">
      <c r="A690" s="3"/>
      <c r="B690" s="3"/>
      <c r="C690" s="217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0" customHeight="1">
      <c r="A691" s="3"/>
      <c r="B691" s="3"/>
      <c r="C691" s="217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0" customHeight="1">
      <c r="A692" s="3"/>
      <c r="B692" s="3"/>
      <c r="C692" s="217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0" customHeight="1">
      <c r="A693" s="3"/>
      <c r="B693" s="3"/>
      <c r="C693" s="217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0" customHeight="1">
      <c r="A694" s="3"/>
      <c r="B694" s="3"/>
      <c r="C694" s="217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0" customHeight="1">
      <c r="A695" s="3"/>
      <c r="B695" s="3"/>
      <c r="C695" s="217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0" customHeight="1">
      <c r="A696" s="3"/>
      <c r="B696" s="3"/>
      <c r="C696" s="217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0" customHeight="1">
      <c r="A697" s="3"/>
      <c r="B697" s="3"/>
      <c r="C697" s="217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0" customHeight="1">
      <c r="A698" s="3"/>
      <c r="B698" s="3"/>
      <c r="C698" s="217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0" customHeight="1">
      <c r="A699" s="3"/>
      <c r="B699" s="3"/>
      <c r="C699" s="217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0" customHeight="1">
      <c r="A700" s="3"/>
      <c r="B700" s="3"/>
      <c r="C700" s="21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0" customHeight="1">
      <c r="A701" s="3"/>
      <c r="B701" s="3"/>
      <c r="C701" s="217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0" customHeight="1">
      <c r="A702" s="3"/>
      <c r="B702" s="3"/>
      <c r="C702" s="217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0" customHeight="1">
      <c r="A703" s="3"/>
      <c r="B703" s="3"/>
      <c r="C703" s="217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0" customHeight="1">
      <c r="A704" s="3"/>
      <c r="B704" s="3"/>
      <c r="C704" s="217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0" customHeight="1">
      <c r="A705" s="3"/>
      <c r="B705" s="3"/>
      <c r="C705" s="217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0" customHeight="1">
      <c r="A706" s="3"/>
      <c r="B706" s="3"/>
      <c r="C706" s="217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0" customHeight="1">
      <c r="A707" s="3"/>
      <c r="B707" s="3"/>
      <c r="C707" s="217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0" customHeight="1">
      <c r="A708" s="3"/>
      <c r="B708" s="3"/>
      <c r="C708" s="217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0" customHeight="1">
      <c r="A709" s="3"/>
      <c r="B709" s="3"/>
      <c r="C709" s="217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0" customHeight="1">
      <c r="A710" s="3"/>
      <c r="B710" s="3"/>
      <c r="C710" s="217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0" customHeight="1">
      <c r="A711" s="3"/>
      <c r="B711" s="3"/>
      <c r="C711" s="217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0" customHeight="1">
      <c r="A712" s="3"/>
      <c r="B712" s="3"/>
      <c r="C712" s="217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0" customHeight="1">
      <c r="A713" s="3"/>
      <c r="B713" s="3"/>
      <c r="C713" s="217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0" customHeight="1">
      <c r="A714" s="3"/>
      <c r="B714" s="3"/>
      <c r="C714" s="217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0" customHeight="1">
      <c r="A715" s="3"/>
      <c r="B715" s="3"/>
      <c r="C715" s="217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0" customHeight="1">
      <c r="A716" s="3"/>
      <c r="B716" s="3"/>
      <c r="C716" s="217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0" customHeight="1">
      <c r="A717" s="3"/>
      <c r="B717" s="3"/>
      <c r="C717" s="217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0" customHeight="1">
      <c r="A718" s="3"/>
      <c r="B718" s="3"/>
      <c r="C718" s="217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0" customHeight="1">
      <c r="A719" s="3"/>
      <c r="B719" s="3"/>
      <c r="C719" s="217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0" customHeight="1">
      <c r="A720" s="3"/>
      <c r="B720" s="3"/>
      <c r="C720" s="217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0" customHeight="1">
      <c r="A721" s="3"/>
      <c r="B721" s="3"/>
      <c r="C721" s="217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0" customHeight="1">
      <c r="A722" s="3"/>
      <c r="B722" s="3"/>
      <c r="C722" s="217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0" customHeight="1">
      <c r="A723" s="3"/>
      <c r="B723" s="3"/>
      <c r="C723" s="217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0" customHeight="1">
      <c r="A724" s="3"/>
      <c r="B724" s="3"/>
      <c r="C724" s="217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0" customHeight="1">
      <c r="A725" s="3"/>
      <c r="B725" s="3"/>
      <c r="C725" s="217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0" customHeight="1">
      <c r="A726" s="3"/>
      <c r="B726" s="3"/>
      <c r="C726" s="217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0" customHeight="1">
      <c r="A727" s="3"/>
      <c r="B727" s="3"/>
      <c r="C727" s="217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0" customHeight="1">
      <c r="A728" s="3"/>
      <c r="B728" s="3"/>
      <c r="C728" s="217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0" customHeight="1">
      <c r="A729" s="3"/>
      <c r="B729" s="3"/>
      <c r="C729" s="217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0" customHeight="1">
      <c r="A730" s="3"/>
      <c r="B730" s="3"/>
      <c r="C730" s="217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0" customHeight="1">
      <c r="A731" s="3"/>
      <c r="B731" s="3"/>
      <c r="C731" s="217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0" customHeight="1">
      <c r="A732" s="3"/>
      <c r="B732" s="3"/>
      <c r="C732" s="217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0" customHeight="1">
      <c r="A733" s="3"/>
      <c r="B733" s="3"/>
      <c r="C733" s="217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0" customHeight="1">
      <c r="A734" s="3"/>
      <c r="B734" s="3"/>
      <c r="C734" s="217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0" customHeight="1">
      <c r="A735" s="3"/>
      <c r="B735" s="3"/>
      <c r="C735" s="217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0" customHeight="1">
      <c r="A736" s="3"/>
      <c r="B736" s="3"/>
      <c r="C736" s="217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0" customHeight="1">
      <c r="A737" s="3"/>
      <c r="B737" s="3"/>
      <c r="C737" s="21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0" customHeight="1">
      <c r="A738" s="3"/>
      <c r="B738" s="3"/>
      <c r="C738" s="217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0" customHeight="1">
      <c r="A739" s="3"/>
      <c r="B739" s="3"/>
      <c r="C739" s="217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0" customHeight="1">
      <c r="A740" s="3"/>
      <c r="B740" s="3"/>
      <c r="C740" s="217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0" customHeight="1">
      <c r="A741" s="3"/>
      <c r="B741" s="3"/>
      <c r="C741" s="217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0" customHeight="1">
      <c r="A742" s="3"/>
      <c r="B742" s="3"/>
      <c r="C742" s="217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0" customHeight="1">
      <c r="A743" s="3"/>
      <c r="B743" s="3"/>
      <c r="C743" s="217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0" customHeight="1">
      <c r="A744" s="3"/>
      <c r="B744" s="3"/>
      <c r="C744" s="217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0" customHeight="1">
      <c r="A745" s="3"/>
      <c r="B745" s="3"/>
      <c r="C745" s="217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0" customHeight="1">
      <c r="A746" s="3"/>
      <c r="B746" s="3"/>
      <c r="C746" s="217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0" customHeight="1">
      <c r="A747" s="3"/>
      <c r="B747" s="3"/>
      <c r="C747" s="217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0" customHeight="1">
      <c r="A748" s="3"/>
      <c r="B748" s="3"/>
      <c r="C748" s="217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0" customHeight="1">
      <c r="A749" s="3"/>
      <c r="B749" s="3"/>
      <c r="C749" s="217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0" customHeight="1">
      <c r="A750" s="3"/>
      <c r="B750" s="3"/>
      <c r="C750" s="217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0" customHeight="1">
      <c r="A751" s="3"/>
      <c r="B751" s="3"/>
      <c r="C751" s="217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0" customHeight="1">
      <c r="A752" s="3"/>
      <c r="B752" s="3"/>
      <c r="C752" s="217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0" customHeight="1">
      <c r="A753" s="3"/>
      <c r="B753" s="3"/>
      <c r="C753" s="217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0" customHeight="1">
      <c r="A754" s="3"/>
      <c r="B754" s="3"/>
      <c r="C754" s="217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0" customHeight="1">
      <c r="A755" s="3"/>
      <c r="B755" s="3"/>
      <c r="C755" s="217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0" customHeight="1">
      <c r="A756" s="3"/>
      <c r="B756" s="3"/>
      <c r="C756" s="217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0" customHeight="1">
      <c r="A757" s="3"/>
      <c r="B757" s="3"/>
      <c r="C757" s="217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0" customHeight="1">
      <c r="A758" s="3"/>
      <c r="B758" s="3"/>
      <c r="C758" s="217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0" customHeight="1">
      <c r="A759" s="3"/>
      <c r="B759" s="3"/>
      <c r="C759" s="217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0" customHeight="1">
      <c r="A760" s="3"/>
      <c r="B760" s="3"/>
      <c r="C760" s="217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0" customHeight="1">
      <c r="A761" s="3"/>
      <c r="B761" s="3"/>
      <c r="C761" s="217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0" customHeight="1">
      <c r="A762" s="3"/>
      <c r="B762" s="3"/>
      <c r="C762" s="217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0" customHeight="1">
      <c r="A763" s="3"/>
      <c r="B763" s="3"/>
      <c r="C763" s="217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0" customHeight="1">
      <c r="A764" s="3"/>
      <c r="B764" s="3"/>
      <c r="C764" s="21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0" customHeight="1">
      <c r="A765" s="3"/>
      <c r="B765" s="3"/>
      <c r="C765" s="217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0" customHeight="1">
      <c r="A766" s="3"/>
      <c r="B766" s="3"/>
      <c r="C766" s="217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0" customHeight="1">
      <c r="A767" s="3"/>
      <c r="B767" s="3"/>
      <c r="C767" s="217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0" customHeight="1">
      <c r="A768" s="3"/>
      <c r="B768" s="3"/>
      <c r="C768" s="217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0" customHeight="1">
      <c r="A769" s="3"/>
      <c r="B769" s="3"/>
      <c r="C769" s="217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0" customHeight="1">
      <c r="A770" s="3"/>
      <c r="B770" s="3"/>
      <c r="C770" s="217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0" customHeight="1">
      <c r="A771" s="3"/>
      <c r="B771" s="3"/>
      <c r="C771" s="217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0" customHeight="1">
      <c r="A772" s="3"/>
      <c r="B772" s="3"/>
      <c r="C772" s="217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0" customHeight="1">
      <c r="A773" s="3"/>
      <c r="B773" s="3"/>
      <c r="C773" s="217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0" customHeight="1">
      <c r="A774" s="3"/>
      <c r="B774" s="3"/>
      <c r="C774" s="217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0" customHeight="1">
      <c r="A775" s="3"/>
      <c r="B775" s="3"/>
      <c r="C775" s="217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0" customHeight="1">
      <c r="A776" s="3"/>
      <c r="B776" s="3"/>
      <c r="C776" s="217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0" customHeight="1">
      <c r="A777" s="3"/>
      <c r="B777" s="3"/>
      <c r="C777" s="217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0" customHeight="1">
      <c r="A778" s="3"/>
      <c r="B778" s="3"/>
      <c r="C778" s="217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0" customHeight="1">
      <c r="A779" s="3"/>
      <c r="B779" s="3"/>
      <c r="C779" s="217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0" customHeight="1">
      <c r="A780" s="3"/>
      <c r="B780" s="3"/>
      <c r="C780" s="217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0" customHeight="1">
      <c r="A781" s="3"/>
      <c r="B781" s="3"/>
      <c r="C781" s="217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0" customHeight="1">
      <c r="A782" s="3"/>
      <c r="B782" s="3"/>
      <c r="C782" s="217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0" customHeight="1">
      <c r="A783" s="3"/>
      <c r="B783" s="3"/>
      <c r="C783" s="217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0" customHeight="1">
      <c r="A784" s="3"/>
      <c r="B784" s="3"/>
      <c r="C784" s="217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0" customHeight="1">
      <c r="A785" s="3"/>
      <c r="B785" s="3"/>
      <c r="C785" s="217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0" customHeight="1">
      <c r="A786" s="3"/>
      <c r="B786" s="3"/>
      <c r="C786" s="217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0" customHeight="1">
      <c r="A787" s="3"/>
      <c r="B787" s="3"/>
      <c r="C787" s="217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0" customHeight="1">
      <c r="A788" s="3"/>
      <c r="B788" s="3"/>
      <c r="C788" s="217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0" customHeight="1">
      <c r="A789" s="3"/>
      <c r="B789" s="3"/>
      <c r="C789" s="217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0" customHeight="1">
      <c r="A790" s="3"/>
      <c r="B790" s="3"/>
      <c r="C790" s="217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0" customHeight="1">
      <c r="A791" s="3"/>
      <c r="B791" s="3"/>
      <c r="C791" s="217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0" customHeight="1">
      <c r="A792" s="3"/>
      <c r="B792" s="3"/>
      <c r="C792" s="217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0" customHeight="1">
      <c r="A793" s="3"/>
      <c r="B793" s="3"/>
      <c r="C793" s="217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0" customHeight="1">
      <c r="A794" s="3"/>
      <c r="B794" s="3"/>
      <c r="C794" s="217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0" customHeight="1">
      <c r="A795" s="3"/>
      <c r="B795" s="3"/>
      <c r="C795" s="217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0" customHeight="1">
      <c r="A796" s="3"/>
      <c r="B796" s="3"/>
      <c r="C796" s="217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0" customHeight="1">
      <c r="A797" s="3"/>
      <c r="B797" s="3"/>
      <c r="C797" s="217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0" customHeight="1">
      <c r="A798" s="3"/>
      <c r="B798" s="3"/>
      <c r="C798" s="217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0" customHeight="1">
      <c r="A799" s="3"/>
      <c r="B799" s="3"/>
      <c r="C799" s="217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0" customHeight="1">
      <c r="A800" s="3"/>
      <c r="B800" s="3"/>
      <c r="C800" s="217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0" customHeight="1">
      <c r="A801" s="3"/>
      <c r="B801" s="3"/>
      <c r="C801" s="21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0" customHeight="1">
      <c r="A802" s="3"/>
      <c r="B802" s="3"/>
      <c r="C802" s="217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0" customHeight="1">
      <c r="A803" s="3"/>
      <c r="B803" s="3"/>
      <c r="C803" s="217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0" customHeight="1">
      <c r="A804" s="3"/>
      <c r="B804" s="3"/>
      <c r="C804" s="217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0" customHeight="1">
      <c r="A805" s="3"/>
      <c r="B805" s="3"/>
      <c r="C805" s="217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0" customHeight="1">
      <c r="A806" s="3"/>
      <c r="B806" s="3"/>
      <c r="C806" s="217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0" customHeight="1">
      <c r="A807" s="3"/>
      <c r="B807" s="3"/>
      <c r="C807" s="217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0" customHeight="1">
      <c r="A808" s="3"/>
      <c r="B808" s="3"/>
      <c r="C808" s="217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0" customHeight="1">
      <c r="A809" s="3"/>
      <c r="B809" s="3"/>
      <c r="C809" s="217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0" customHeight="1">
      <c r="A810" s="3"/>
      <c r="B810" s="3"/>
      <c r="C810" s="217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0" customHeight="1">
      <c r="A811" s="3"/>
      <c r="B811" s="3"/>
      <c r="C811" s="217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0" customHeight="1">
      <c r="A812" s="3"/>
      <c r="B812" s="3"/>
      <c r="C812" s="217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0" customHeight="1">
      <c r="A813" s="3"/>
      <c r="B813" s="3"/>
      <c r="C813" s="217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0" customHeight="1">
      <c r="A814" s="3"/>
      <c r="B814" s="3"/>
      <c r="C814" s="217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0" customHeight="1">
      <c r="A815" s="3"/>
      <c r="B815" s="3"/>
      <c r="C815" s="217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0" customHeight="1">
      <c r="A816" s="3"/>
      <c r="B816" s="3"/>
      <c r="C816" s="217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0" customHeight="1">
      <c r="A817" s="3"/>
      <c r="B817" s="3"/>
      <c r="C817" s="217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0" customHeight="1">
      <c r="A818" s="3"/>
      <c r="B818" s="3"/>
      <c r="C818" s="217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0" customHeight="1">
      <c r="A819" s="3"/>
      <c r="B819" s="3"/>
      <c r="C819" s="217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0" customHeight="1">
      <c r="A820" s="3"/>
      <c r="B820" s="3"/>
      <c r="C820" s="217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0" customHeight="1">
      <c r="A821" s="3"/>
      <c r="B821" s="3"/>
      <c r="C821" s="217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0" customHeight="1">
      <c r="A822" s="3"/>
      <c r="B822" s="3"/>
      <c r="C822" s="217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0" customHeight="1">
      <c r="A823" s="3"/>
      <c r="B823" s="3"/>
      <c r="C823" s="217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0" customHeight="1">
      <c r="A824" s="3"/>
      <c r="B824" s="3"/>
      <c r="C824" s="217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0" customHeight="1">
      <c r="A825" s="3"/>
      <c r="B825" s="3"/>
      <c r="C825" s="217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0" customHeight="1">
      <c r="A826" s="3"/>
      <c r="B826" s="3"/>
      <c r="C826" s="217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0" customHeight="1">
      <c r="A827" s="3"/>
      <c r="B827" s="3"/>
      <c r="C827" s="217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0" customHeight="1">
      <c r="A828" s="3"/>
      <c r="B828" s="3"/>
      <c r="C828" s="21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0" customHeight="1">
      <c r="A829" s="3"/>
      <c r="B829" s="3"/>
      <c r="C829" s="217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0" customHeight="1">
      <c r="A830" s="3"/>
      <c r="B830" s="3"/>
      <c r="C830" s="217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0" customHeight="1">
      <c r="A831" s="3"/>
      <c r="B831" s="3"/>
      <c r="C831" s="217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0" customHeight="1">
      <c r="A832" s="3"/>
      <c r="B832" s="3"/>
      <c r="C832" s="217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0" customHeight="1">
      <c r="A833" s="3"/>
      <c r="B833" s="3"/>
      <c r="C833" s="217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0" customHeight="1">
      <c r="A834" s="3"/>
      <c r="B834" s="3"/>
      <c r="C834" s="217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0" customHeight="1">
      <c r="A835" s="3"/>
      <c r="B835" s="3"/>
      <c r="C835" s="217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0" customHeight="1">
      <c r="A836" s="3"/>
      <c r="B836" s="3"/>
      <c r="C836" s="217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0" customHeight="1">
      <c r="A837" s="3"/>
      <c r="B837" s="3"/>
      <c r="C837" s="217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0" customHeight="1">
      <c r="A838" s="3"/>
      <c r="B838" s="3"/>
      <c r="C838" s="217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0" customHeight="1">
      <c r="A839" s="3"/>
      <c r="B839" s="3"/>
      <c r="C839" s="217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0" customHeight="1">
      <c r="A840" s="3"/>
      <c r="B840" s="3"/>
      <c r="C840" s="217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0" customHeight="1">
      <c r="A841" s="3"/>
      <c r="B841" s="3"/>
      <c r="C841" s="217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0" customHeight="1">
      <c r="A842" s="3"/>
      <c r="B842" s="3"/>
      <c r="C842" s="217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0" customHeight="1">
      <c r="A843" s="3"/>
      <c r="B843" s="3"/>
      <c r="C843" s="217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0" customHeight="1">
      <c r="A844" s="3"/>
      <c r="B844" s="3"/>
      <c r="C844" s="217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0" customHeight="1">
      <c r="A845" s="3"/>
      <c r="B845" s="3"/>
      <c r="C845" s="217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0" customHeight="1">
      <c r="A846" s="3"/>
      <c r="B846" s="3"/>
      <c r="C846" s="217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0" customHeight="1">
      <c r="A847" s="3"/>
      <c r="B847" s="3"/>
      <c r="C847" s="217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0" customHeight="1">
      <c r="A848" s="3"/>
      <c r="B848" s="3"/>
      <c r="C848" s="217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0" customHeight="1">
      <c r="A849" s="3"/>
      <c r="B849" s="3"/>
      <c r="C849" s="217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0" customHeight="1">
      <c r="A850" s="3"/>
      <c r="B850" s="3"/>
      <c r="C850" s="217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0" customHeight="1">
      <c r="A851" s="3"/>
      <c r="B851" s="3"/>
      <c r="C851" s="217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0" customHeight="1">
      <c r="A852" s="3"/>
      <c r="B852" s="3"/>
      <c r="C852" s="217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0" customHeight="1">
      <c r="A853" s="3"/>
      <c r="B853" s="3"/>
      <c r="C853" s="217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0" customHeight="1">
      <c r="A854" s="3"/>
      <c r="B854" s="3"/>
      <c r="C854" s="217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0" customHeight="1">
      <c r="A855" s="3"/>
      <c r="B855" s="3"/>
      <c r="C855" s="217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0" customHeight="1">
      <c r="A856" s="3"/>
      <c r="B856" s="3"/>
      <c r="C856" s="217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0" customHeight="1">
      <c r="A857" s="3"/>
      <c r="B857" s="3"/>
      <c r="C857" s="217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0" customHeight="1">
      <c r="A858" s="3"/>
      <c r="B858" s="3"/>
      <c r="C858" s="217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0" customHeight="1">
      <c r="A859" s="3"/>
      <c r="B859" s="3"/>
      <c r="C859" s="217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0" customHeight="1">
      <c r="A860" s="3"/>
      <c r="B860" s="3"/>
      <c r="C860" s="217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0" customHeight="1">
      <c r="A861" s="3"/>
      <c r="B861" s="3"/>
      <c r="C861" s="217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0" customHeight="1">
      <c r="A862" s="3"/>
      <c r="B862" s="3"/>
      <c r="C862" s="217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0" customHeight="1">
      <c r="A863" s="3"/>
      <c r="B863" s="3"/>
      <c r="C863" s="217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0" customHeight="1">
      <c r="A864" s="3"/>
      <c r="B864" s="3"/>
      <c r="C864" s="217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0" customHeight="1">
      <c r="A865" s="3"/>
      <c r="B865" s="3"/>
      <c r="C865" s="21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0" customHeight="1">
      <c r="A866" s="3"/>
      <c r="B866" s="3"/>
      <c r="C866" s="217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0" customHeight="1">
      <c r="A867" s="3"/>
      <c r="B867" s="3"/>
      <c r="C867" s="217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0" customHeight="1">
      <c r="A868" s="3"/>
      <c r="B868" s="3"/>
      <c r="C868" s="217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0" customHeight="1">
      <c r="A869" s="3"/>
      <c r="B869" s="3"/>
      <c r="C869" s="217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0" customHeight="1">
      <c r="A870" s="3"/>
      <c r="B870" s="3"/>
      <c r="C870" s="217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0" customHeight="1">
      <c r="A871" s="3"/>
      <c r="B871" s="3"/>
      <c r="C871" s="217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0" customHeight="1">
      <c r="A872" s="3"/>
      <c r="B872" s="3"/>
      <c r="C872" s="217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0" customHeight="1">
      <c r="A873" s="3"/>
      <c r="B873" s="3"/>
      <c r="C873" s="217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0" customHeight="1">
      <c r="A874" s="3"/>
      <c r="B874" s="3"/>
      <c r="C874" s="217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0" customHeight="1">
      <c r="A875" s="3"/>
      <c r="B875" s="3"/>
      <c r="C875" s="217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0" customHeight="1">
      <c r="A876" s="3"/>
      <c r="B876" s="3"/>
      <c r="C876" s="217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0" customHeight="1">
      <c r="A877" s="3"/>
      <c r="B877" s="3"/>
      <c r="C877" s="217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0" customHeight="1">
      <c r="A878" s="3"/>
      <c r="B878" s="3"/>
      <c r="C878" s="217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0" customHeight="1">
      <c r="A879" s="3"/>
      <c r="B879" s="3"/>
      <c r="C879" s="217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0" customHeight="1">
      <c r="A880" s="3"/>
      <c r="B880" s="3"/>
      <c r="C880" s="217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0" customHeight="1">
      <c r="A881" s="3"/>
      <c r="B881" s="3"/>
      <c r="C881" s="217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0" customHeight="1">
      <c r="A882" s="3"/>
      <c r="B882" s="3"/>
      <c r="C882" s="217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0" customHeight="1">
      <c r="A883" s="3"/>
      <c r="B883" s="3"/>
      <c r="C883" s="217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0" customHeight="1">
      <c r="A884" s="3"/>
      <c r="B884" s="3"/>
      <c r="C884" s="217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0" customHeight="1">
      <c r="A885" s="3"/>
      <c r="B885" s="3"/>
      <c r="C885" s="217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0" customHeight="1">
      <c r="A886" s="3"/>
      <c r="B886" s="3"/>
      <c r="C886" s="217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0" customHeight="1">
      <c r="A887" s="3"/>
      <c r="B887" s="3"/>
      <c r="C887" s="217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0" customHeight="1">
      <c r="A888" s="3"/>
      <c r="B888" s="3"/>
      <c r="C888" s="217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0" customHeight="1">
      <c r="A889" s="3"/>
      <c r="B889" s="3"/>
      <c r="C889" s="217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0" customHeight="1">
      <c r="A890" s="3"/>
      <c r="B890" s="3"/>
      <c r="C890" s="217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0" customHeight="1">
      <c r="A891" s="3"/>
      <c r="B891" s="3"/>
      <c r="C891" s="217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0" customHeight="1">
      <c r="A892" s="3"/>
      <c r="B892" s="3"/>
      <c r="C892" s="21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0" customHeight="1">
      <c r="A893" s="3"/>
      <c r="B893" s="3"/>
      <c r="C893" s="217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0" customHeight="1">
      <c r="A894" s="3"/>
      <c r="B894" s="3"/>
      <c r="C894" s="217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0" customHeight="1">
      <c r="A895" s="3"/>
      <c r="B895" s="3"/>
      <c r="C895" s="217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0" customHeight="1">
      <c r="A896" s="3"/>
      <c r="B896" s="3"/>
      <c r="C896" s="217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0" customHeight="1">
      <c r="A897" s="3"/>
      <c r="B897" s="3"/>
      <c r="C897" s="217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0" customHeight="1">
      <c r="A898" s="3"/>
      <c r="B898" s="3"/>
      <c r="C898" s="217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0" customHeight="1">
      <c r="A899" s="3"/>
      <c r="B899" s="3"/>
      <c r="C899" s="217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0" customHeight="1">
      <c r="A900" s="3"/>
      <c r="B900" s="3"/>
      <c r="C900" s="217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0" customHeight="1">
      <c r="A901" s="3"/>
      <c r="B901" s="3"/>
      <c r="C901" s="217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0" customHeight="1">
      <c r="A902" s="3"/>
      <c r="B902" s="3"/>
      <c r="C902" s="217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0" customHeight="1">
      <c r="A903" s="3"/>
      <c r="B903" s="3"/>
      <c r="C903" s="217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0" customHeight="1">
      <c r="A904" s="3"/>
      <c r="B904" s="3"/>
      <c r="C904" s="217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0" customHeight="1">
      <c r="A905" s="3"/>
      <c r="B905" s="3"/>
      <c r="C905" s="217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0" customHeight="1">
      <c r="A906" s="3"/>
      <c r="B906" s="3"/>
      <c r="C906" s="217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0" customHeight="1">
      <c r="A907" s="3"/>
      <c r="B907" s="3"/>
      <c r="C907" s="217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0" customHeight="1">
      <c r="A908" s="3"/>
      <c r="B908" s="3"/>
      <c r="C908" s="217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0" customHeight="1">
      <c r="A909" s="3"/>
      <c r="B909" s="3"/>
      <c r="C909" s="217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0" customHeight="1">
      <c r="A910" s="3"/>
      <c r="B910" s="3"/>
      <c r="C910" s="217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0" customHeight="1">
      <c r="A911" s="3"/>
      <c r="B911" s="3"/>
      <c r="C911" s="217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0" customHeight="1">
      <c r="A912" s="3"/>
      <c r="B912" s="3"/>
      <c r="C912" s="217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0" customHeight="1">
      <c r="A913" s="3"/>
      <c r="B913" s="3"/>
      <c r="C913" s="217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0" customHeight="1">
      <c r="A914" s="3"/>
      <c r="B914" s="3"/>
      <c r="C914" s="217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0" customHeight="1">
      <c r="A915" s="3"/>
      <c r="B915" s="3"/>
      <c r="C915" s="217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0" customHeight="1">
      <c r="A916" s="3"/>
      <c r="B916" s="3"/>
      <c r="C916" s="217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0" customHeight="1">
      <c r="A917" s="3"/>
      <c r="B917" s="3"/>
      <c r="C917" s="217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0" customHeight="1">
      <c r="A918" s="3"/>
      <c r="B918" s="3"/>
      <c r="C918" s="217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0" customHeight="1">
      <c r="A919" s="3"/>
      <c r="B919" s="3"/>
      <c r="C919" s="217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0" customHeight="1">
      <c r="A920" s="3"/>
      <c r="B920" s="3"/>
      <c r="C920" s="217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0" customHeight="1">
      <c r="A921" s="3"/>
      <c r="B921" s="3"/>
      <c r="C921" s="217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0" customHeight="1">
      <c r="A922" s="3"/>
      <c r="B922" s="3"/>
      <c r="C922" s="217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0" customHeight="1">
      <c r="A923" s="3"/>
      <c r="B923" s="3"/>
      <c r="C923" s="217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0" customHeight="1">
      <c r="A924" s="3"/>
      <c r="B924" s="3"/>
      <c r="C924" s="217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0" customHeight="1">
      <c r="A925" s="3"/>
      <c r="B925" s="3"/>
      <c r="C925" s="217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0" customHeight="1">
      <c r="A926" s="3"/>
      <c r="B926" s="3"/>
      <c r="C926" s="217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0" customHeight="1">
      <c r="A927" s="3"/>
      <c r="B927" s="3"/>
      <c r="C927" s="217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0" customHeight="1">
      <c r="A928" s="3"/>
      <c r="B928" s="3"/>
      <c r="C928" s="217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0" customHeight="1">
      <c r="A929" s="3"/>
      <c r="B929" s="3"/>
      <c r="C929" s="21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0" customHeight="1">
      <c r="A930" s="3"/>
      <c r="B930" s="3"/>
      <c r="C930" s="217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0" customHeight="1">
      <c r="A931" s="3"/>
      <c r="B931" s="3"/>
      <c r="C931" s="217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0" customHeight="1">
      <c r="A932" s="3"/>
      <c r="B932" s="3"/>
      <c r="C932" s="217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0" customHeight="1">
      <c r="A933" s="3"/>
      <c r="B933" s="3"/>
      <c r="C933" s="217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0" customHeight="1">
      <c r="A934" s="3"/>
      <c r="B934" s="3"/>
      <c r="C934" s="217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0" customHeight="1">
      <c r="A935" s="3"/>
      <c r="B935" s="3"/>
      <c r="C935" s="217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0" customHeight="1">
      <c r="A936" s="3"/>
      <c r="B936" s="3"/>
      <c r="C936" s="217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0" customHeight="1">
      <c r="A937" s="3"/>
      <c r="B937" s="3"/>
      <c r="C937" s="217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0" customHeight="1">
      <c r="A938" s="3"/>
      <c r="B938" s="3"/>
      <c r="C938" s="217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0" customHeight="1">
      <c r="A939" s="3"/>
      <c r="B939" s="3"/>
      <c r="C939" s="217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0" customHeight="1">
      <c r="A940" s="3"/>
      <c r="B940" s="3"/>
      <c r="C940" s="217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0" customHeight="1">
      <c r="A941" s="3"/>
      <c r="B941" s="3"/>
      <c r="C941" s="217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0" customHeight="1">
      <c r="A942" s="3"/>
      <c r="B942" s="3"/>
      <c r="C942" s="217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0" customHeight="1">
      <c r="A943" s="3"/>
      <c r="B943" s="3"/>
      <c r="C943" s="217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0" customHeight="1">
      <c r="A944" s="3"/>
      <c r="B944" s="3"/>
      <c r="C944" s="217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0" customHeight="1">
      <c r="A945" s="3"/>
      <c r="B945" s="3"/>
      <c r="C945" s="217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0" customHeight="1">
      <c r="A946" s="3"/>
      <c r="B946" s="3"/>
      <c r="C946" s="217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0" customHeight="1">
      <c r="A947" s="3"/>
      <c r="B947" s="3"/>
      <c r="C947" s="217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0" customHeight="1">
      <c r="A948" s="3"/>
      <c r="B948" s="3"/>
      <c r="C948" s="217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0" customHeight="1">
      <c r="A949" s="3"/>
      <c r="B949" s="3"/>
      <c r="C949" s="217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0" customHeight="1">
      <c r="A950" s="3"/>
      <c r="B950" s="3"/>
      <c r="C950" s="217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0" customHeight="1">
      <c r="A951" s="3"/>
      <c r="B951" s="3"/>
      <c r="C951" s="217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0" customHeight="1">
      <c r="A952" s="3"/>
      <c r="B952" s="3"/>
      <c r="C952" s="217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0" customHeight="1">
      <c r="A953" s="3"/>
      <c r="B953" s="3"/>
      <c r="C953" s="217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0" customHeight="1">
      <c r="A954" s="3"/>
      <c r="B954" s="3"/>
      <c r="C954" s="217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0" customHeight="1">
      <c r="A955" s="3"/>
      <c r="B955" s="3"/>
      <c r="C955" s="217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0" customHeight="1">
      <c r="A956" s="3"/>
      <c r="B956" s="3"/>
      <c r="C956" s="21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0" customHeight="1">
      <c r="A957" s="3"/>
      <c r="B957" s="3"/>
      <c r="C957" s="217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0" customHeight="1">
      <c r="A958" s="3"/>
      <c r="B958" s="3"/>
      <c r="C958" s="217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0" customHeight="1">
      <c r="A959" s="3"/>
      <c r="B959" s="3"/>
      <c r="C959" s="217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0" customHeight="1">
      <c r="A960" s="3"/>
      <c r="B960" s="3"/>
      <c r="C960" s="217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0" customHeight="1">
      <c r="A961" s="3"/>
      <c r="B961" s="3"/>
      <c r="C961" s="217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0" customHeight="1">
      <c r="A962" s="3"/>
      <c r="B962" s="3"/>
      <c r="C962" s="217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0" customHeight="1">
      <c r="A963" s="3"/>
      <c r="B963" s="3"/>
      <c r="C963" s="217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0" customHeight="1">
      <c r="A964" s="3"/>
      <c r="B964" s="3"/>
      <c r="C964" s="217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0" customHeight="1">
      <c r="A965" s="3"/>
      <c r="B965" s="3"/>
      <c r="C965" s="217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0" customHeight="1">
      <c r="A966" s="3"/>
      <c r="B966" s="3"/>
      <c r="C966" s="217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0" customHeight="1">
      <c r="A967" s="3"/>
      <c r="B967" s="3"/>
      <c r="C967" s="217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0" customHeight="1">
      <c r="A968" s="3"/>
      <c r="B968" s="3"/>
      <c r="C968" s="217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0" customHeight="1">
      <c r="A969" s="3"/>
      <c r="B969" s="3"/>
      <c r="C969" s="217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0" customHeight="1">
      <c r="A970" s="3"/>
      <c r="B970" s="3"/>
      <c r="C970" s="217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0" customHeight="1">
      <c r="A971" s="3"/>
      <c r="B971" s="3"/>
      <c r="C971" s="217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0" customHeight="1">
      <c r="A972" s="3"/>
      <c r="B972" s="3"/>
      <c r="C972" s="217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0" customHeight="1">
      <c r="A973" s="3"/>
      <c r="B973" s="3"/>
      <c r="C973" s="217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0" customHeight="1">
      <c r="A974" s="3"/>
      <c r="B974" s="3"/>
      <c r="C974" s="217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0" customHeight="1">
      <c r="A975" s="3"/>
      <c r="B975" s="3"/>
      <c r="C975" s="217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0" customHeight="1">
      <c r="A976" s="3"/>
      <c r="B976" s="3"/>
      <c r="C976" s="217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0" customHeight="1">
      <c r="A977" s="3"/>
      <c r="B977" s="3"/>
      <c r="C977" s="217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0" customHeight="1">
      <c r="A978" s="3"/>
      <c r="B978" s="3"/>
      <c r="C978" s="217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0" customHeight="1">
      <c r="A979" s="3"/>
      <c r="B979" s="3"/>
      <c r="C979" s="217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0" customHeight="1">
      <c r="A980" s="3"/>
      <c r="B980" s="3"/>
      <c r="C980" s="217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0" customHeight="1">
      <c r="A981" s="3"/>
      <c r="B981" s="3"/>
      <c r="C981" s="217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0" customHeight="1">
      <c r="A982" s="3"/>
      <c r="B982" s="3"/>
      <c r="C982" s="217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0" customHeight="1">
      <c r="A983" s="3"/>
      <c r="B983" s="3"/>
      <c r="C983" s="217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0" customHeight="1">
      <c r="A984" s="3"/>
      <c r="B984" s="3"/>
      <c r="C984" s="217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0" customHeight="1">
      <c r="A985" s="3"/>
      <c r="B985" s="3"/>
      <c r="C985" s="217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0" customHeight="1">
      <c r="A986" s="3"/>
      <c r="B986" s="3"/>
      <c r="C986" s="217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0" customHeight="1">
      <c r="A987" s="3"/>
      <c r="B987" s="3"/>
      <c r="C987" s="217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0" customHeight="1">
      <c r="A988" s="3"/>
      <c r="B988" s="3"/>
      <c r="C988" s="217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0" customHeight="1">
      <c r="A989" s="3"/>
      <c r="B989" s="3"/>
      <c r="C989" s="217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0" customHeight="1">
      <c r="A990" s="3"/>
      <c r="B990" s="3"/>
      <c r="C990" s="217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0" customHeight="1">
      <c r="A991" s="3"/>
      <c r="B991" s="3"/>
      <c r="C991" s="217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0" customHeight="1">
      <c r="A992" s="3"/>
      <c r="B992" s="3"/>
      <c r="C992" s="217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0" customHeight="1">
      <c r="A993" s="3"/>
      <c r="B993" s="3"/>
      <c r="C993" s="217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0" customHeight="1">
      <c r="A994" s="3"/>
      <c r="B994" s="3"/>
      <c r="C994" s="217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0" customHeight="1">
      <c r="A995" s="3"/>
      <c r="B995" s="3"/>
      <c r="C995" s="217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0" customHeight="1">
      <c r="A996" s="3"/>
      <c r="B996" s="3"/>
      <c r="C996" s="217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0" customHeight="1">
      <c r="A997" s="3"/>
      <c r="B997" s="3"/>
      <c r="C997" s="217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0" customHeight="1">
      <c r="A998" s="3"/>
      <c r="B998" s="3"/>
      <c r="C998" s="217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0" customHeight="1">
      <c r="A999" s="3"/>
      <c r="B999" s="3"/>
      <c r="C999" s="217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0" customHeight="1">
      <c r="A1000" s="3"/>
      <c r="B1000" s="3"/>
      <c r="C1000" s="217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12.5"/>
    <col customWidth="1" min="3" max="3" width="52.25"/>
    <col customWidth="1" min="4" max="4" width="17.75"/>
    <col customWidth="1" min="5" max="5" width="12.25"/>
    <col customWidth="1" min="6" max="6" width="29.88"/>
    <col customWidth="1" min="7" max="14" width="12.5"/>
  </cols>
  <sheetData>
    <row r="1" ht="15.75" customHeight="1">
      <c r="A1" s="218" t="s">
        <v>216</v>
      </c>
      <c r="B1" s="219" t="s">
        <v>43</v>
      </c>
      <c r="C1" s="220" t="s">
        <v>217</v>
      </c>
      <c r="D1" s="220" t="s">
        <v>218</v>
      </c>
      <c r="E1" s="27" t="s">
        <v>80</v>
      </c>
      <c r="F1" s="27" t="s">
        <v>219</v>
      </c>
      <c r="G1" s="27" t="s">
        <v>220</v>
      </c>
      <c r="H1" s="27" t="s">
        <v>221</v>
      </c>
      <c r="I1" s="27" t="s">
        <v>222</v>
      </c>
      <c r="J1" s="27" t="s">
        <v>223</v>
      </c>
    </row>
    <row r="2" ht="15.75" customHeight="1">
      <c r="A2" s="3"/>
      <c r="B2" s="20"/>
      <c r="C2" s="221"/>
      <c r="D2" s="222" t="str">
        <f t="shared" ref="D2:D12" si="1">E2*0.1</f>
        <v>#DIV/0!</v>
      </c>
      <c r="E2" s="45" t="str">
        <f t="shared" ref="E2:E12" si="2">B2/$B$15</f>
        <v>#DIV/0!</v>
      </c>
      <c r="F2" s="3"/>
      <c r="G2" s="3"/>
      <c r="H2" s="3"/>
      <c r="I2" s="3"/>
      <c r="J2" s="3"/>
    </row>
    <row r="3" ht="15.75" customHeight="1">
      <c r="A3" s="223"/>
      <c r="B3" s="224"/>
      <c r="C3" s="221"/>
      <c r="D3" s="222" t="str">
        <f t="shared" si="1"/>
        <v>#DIV/0!</v>
      </c>
      <c r="E3" s="45" t="str">
        <f t="shared" si="2"/>
        <v>#DIV/0!</v>
      </c>
      <c r="F3" s="3"/>
      <c r="G3" s="3"/>
      <c r="H3" s="3"/>
      <c r="I3" s="3"/>
      <c r="J3" s="3"/>
      <c r="K3" s="225"/>
      <c r="L3" s="225"/>
      <c r="M3" s="225"/>
      <c r="N3" s="225"/>
    </row>
    <row r="4" ht="15.75" customHeight="1">
      <c r="A4" s="223"/>
      <c r="B4" s="224"/>
      <c r="C4" s="221"/>
      <c r="D4" s="222" t="str">
        <f t="shared" si="1"/>
        <v>#DIV/0!</v>
      </c>
      <c r="E4" s="45" t="str">
        <f t="shared" si="2"/>
        <v>#DIV/0!</v>
      </c>
      <c r="F4" s="3"/>
      <c r="G4" s="3"/>
      <c r="H4" s="3"/>
      <c r="I4" s="3"/>
      <c r="J4" s="3"/>
      <c r="K4" s="225"/>
      <c r="L4" s="225"/>
      <c r="M4" s="225"/>
      <c r="N4" s="225"/>
    </row>
    <row r="5" ht="15.75" customHeight="1">
      <c r="A5" s="3"/>
      <c r="B5" s="20"/>
      <c r="C5" s="221"/>
      <c r="D5" s="222" t="str">
        <f t="shared" si="1"/>
        <v>#DIV/0!</v>
      </c>
      <c r="E5" s="45" t="str">
        <f t="shared" si="2"/>
        <v>#DIV/0!</v>
      </c>
      <c r="F5" s="3"/>
      <c r="G5" s="3"/>
      <c r="H5" s="3"/>
      <c r="I5" s="3"/>
      <c r="J5" s="3"/>
    </row>
    <row r="6" ht="15.75" customHeight="1">
      <c r="A6" s="3"/>
      <c r="B6" s="20"/>
      <c r="C6" s="221"/>
      <c r="D6" s="222" t="str">
        <f t="shared" si="1"/>
        <v>#DIV/0!</v>
      </c>
      <c r="E6" s="45" t="str">
        <f t="shared" si="2"/>
        <v>#DIV/0!</v>
      </c>
      <c r="F6" s="3"/>
      <c r="G6" s="3"/>
      <c r="H6" s="3"/>
      <c r="I6" s="3"/>
      <c r="J6" s="3"/>
    </row>
    <row r="7" ht="15.75" customHeight="1">
      <c r="A7" s="223"/>
      <c r="B7" s="224"/>
      <c r="C7" s="221"/>
      <c r="D7" s="222" t="str">
        <f t="shared" si="1"/>
        <v>#DIV/0!</v>
      </c>
      <c r="E7" s="45" t="str">
        <f t="shared" si="2"/>
        <v>#DIV/0!</v>
      </c>
      <c r="F7" s="3"/>
      <c r="G7" s="3"/>
      <c r="H7" s="3"/>
      <c r="I7" s="3"/>
      <c r="J7" s="3"/>
      <c r="K7" s="225"/>
      <c r="L7" s="225"/>
      <c r="M7" s="225"/>
      <c r="N7" s="225"/>
    </row>
    <row r="8" ht="15.75" customHeight="1">
      <c r="A8" s="3"/>
      <c r="B8" s="20"/>
      <c r="C8" s="221"/>
      <c r="D8" s="222" t="str">
        <f t="shared" si="1"/>
        <v>#DIV/0!</v>
      </c>
      <c r="E8" s="45" t="str">
        <f t="shared" si="2"/>
        <v>#DIV/0!</v>
      </c>
      <c r="F8" s="3"/>
      <c r="G8" s="3"/>
      <c r="H8" s="3"/>
      <c r="I8" s="3"/>
      <c r="J8" s="3"/>
    </row>
    <row r="9" ht="15.75" customHeight="1">
      <c r="A9" s="223"/>
      <c r="B9" s="224"/>
      <c r="C9" s="221"/>
      <c r="D9" s="222" t="str">
        <f t="shared" si="1"/>
        <v>#DIV/0!</v>
      </c>
      <c r="E9" s="45" t="str">
        <f t="shared" si="2"/>
        <v>#DIV/0!</v>
      </c>
      <c r="F9" s="3"/>
      <c r="G9" s="3"/>
      <c r="H9" s="3"/>
      <c r="I9" s="3"/>
      <c r="J9" s="3"/>
      <c r="K9" s="225"/>
      <c r="L9" s="225"/>
      <c r="M9" s="225"/>
      <c r="N9" s="225"/>
    </row>
    <row r="10" ht="15.75" customHeight="1">
      <c r="A10" s="223"/>
      <c r="B10" s="224"/>
      <c r="C10" s="221"/>
      <c r="D10" s="222" t="str">
        <f t="shared" si="1"/>
        <v>#DIV/0!</v>
      </c>
      <c r="E10" s="45" t="str">
        <f t="shared" si="2"/>
        <v>#DIV/0!</v>
      </c>
      <c r="F10" s="3"/>
      <c r="G10" s="3"/>
      <c r="H10" s="3"/>
      <c r="I10" s="3"/>
      <c r="J10" s="3"/>
      <c r="K10" s="225"/>
      <c r="L10" s="225"/>
      <c r="M10" s="225"/>
      <c r="N10" s="225"/>
    </row>
    <row r="11" ht="15.75" customHeight="1">
      <c r="A11" s="3"/>
      <c r="B11" s="20"/>
      <c r="C11" s="221"/>
      <c r="D11" s="222" t="str">
        <f t="shared" si="1"/>
        <v>#DIV/0!</v>
      </c>
      <c r="E11" s="45" t="str">
        <f t="shared" si="2"/>
        <v>#DIV/0!</v>
      </c>
      <c r="F11" s="3"/>
      <c r="G11" s="3"/>
      <c r="H11" s="3"/>
      <c r="I11" s="3"/>
      <c r="J11" s="3"/>
    </row>
    <row r="12" ht="15.75" customHeight="1">
      <c r="A12" s="226"/>
      <c r="B12" s="227"/>
      <c r="C12" s="221"/>
      <c r="D12" s="222" t="str">
        <f t="shared" si="1"/>
        <v>#DIV/0!</v>
      </c>
      <c r="E12" s="45" t="str">
        <f t="shared" si="2"/>
        <v>#DIV/0!</v>
      </c>
      <c r="F12" s="47"/>
      <c r="G12" s="47"/>
      <c r="H12" s="3"/>
      <c r="I12" s="3"/>
      <c r="J12" s="3"/>
      <c r="K12" s="225"/>
      <c r="L12" s="225"/>
      <c r="M12" s="225"/>
      <c r="N12" s="225"/>
    </row>
    <row r="13" ht="15.75" customHeight="1">
      <c r="A13" s="3"/>
      <c r="B13" s="20"/>
      <c r="C13" s="221"/>
      <c r="D13" s="228">
        <v>0.45</v>
      </c>
      <c r="E13" s="3"/>
      <c r="F13" s="3"/>
      <c r="G13" s="3"/>
      <c r="H13" s="3"/>
      <c r="I13" s="3"/>
      <c r="J13" s="3"/>
    </row>
    <row r="14" ht="15.75" customHeight="1">
      <c r="A14" s="47"/>
      <c r="B14" s="48"/>
      <c r="C14" s="221"/>
      <c r="D14" s="228">
        <v>0.45</v>
      </c>
      <c r="E14" s="3"/>
      <c r="F14" s="3"/>
      <c r="G14" s="3"/>
      <c r="H14" s="3"/>
      <c r="I14" s="3"/>
      <c r="J14" s="3"/>
    </row>
    <row r="15" ht="15.75" customHeight="1">
      <c r="A15" s="47" t="s">
        <v>21</v>
      </c>
      <c r="B15" s="229">
        <f>SUM(B2:B14)</f>
        <v>0</v>
      </c>
      <c r="C15" s="3"/>
      <c r="D15" s="3"/>
      <c r="E15" s="3"/>
      <c r="F15" s="3"/>
      <c r="G15" s="3"/>
      <c r="H15" s="3"/>
      <c r="I15" s="3"/>
      <c r="J15" s="3"/>
    </row>
    <row r="16" ht="15.75" customHeight="1">
      <c r="A16" s="3" t="s">
        <v>32</v>
      </c>
      <c r="B16" s="20"/>
      <c r="C16" s="3"/>
      <c r="D16" s="3"/>
      <c r="E16" s="3"/>
      <c r="F16" s="3"/>
      <c r="G16" s="3"/>
      <c r="H16" s="3"/>
      <c r="I16" s="3"/>
      <c r="J16" s="3"/>
    </row>
    <row r="17" ht="15.75" customHeight="1">
      <c r="B17" s="83"/>
    </row>
    <row r="18" ht="15.75" customHeight="1">
      <c r="B18" s="83"/>
    </row>
    <row r="19" ht="15.75" hidden="1" customHeight="1">
      <c r="A19" s="230" t="s">
        <v>224</v>
      </c>
      <c r="B19" s="83"/>
      <c r="C19" s="68" t="s">
        <v>225</v>
      </c>
      <c r="D19" s="68"/>
      <c r="E19" s="68"/>
    </row>
    <row r="20" ht="15.75" hidden="1" customHeight="1">
      <c r="A20" s="68" t="s">
        <v>226</v>
      </c>
      <c r="B20" s="83" t="s">
        <v>227</v>
      </c>
      <c r="C20" s="231">
        <v>45222.0</v>
      </c>
      <c r="D20" s="231"/>
      <c r="E20" s="231"/>
    </row>
    <row r="21" ht="15.75" hidden="1" customHeight="1">
      <c r="A21" s="68"/>
      <c r="B21" s="83"/>
    </row>
    <row r="22" ht="15.75" hidden="1" customHeight="1">
      <c r="C22" s="231"/>
      <c r="D22" s="231"/>
      <c r="E22" s="231"/>
    </row>
    <row r="23" ht="15.75" hidden="1" customHeight="1">
      <c r="A23" s="68" t="s">
        <v>228</v>
      </c>
      <c r="B23" s="83" t="s">
        <v>227</v>
      </c>
      <c r="C23" s="231">
        <v>45222.0</v>
      </c>
      <c r="D23" s="231"/>
      <c r="E23" s="231"/>
    </row>
    <row r="24" ht="15.75" hidden="1" customHeight="1">
      <c r="A24" s="68" t="s">
        <v>229</v>
      </c>
      <c r="B24" s="79" t="s">
        <v>227</v>
      </c>
    </row>
    <row r="25" ht="15.75" hidden="1" customHeight="1">
      <c r="A25" s="68" t="s">
        <v>230</v>
      </c>
    </row>
    <row r="26" ht="15.75" hidden="1" customHeight="1">
      <c r="A26" s="68"/>
      <c r="B26" s="83"/>
    </row>
    <row r="27" ht="15.75" hidden="1" customHeight="1">
      <c r="A27" s="68" t="s">
        <v>231</v>
      </c>
      <c r="B27" s="83"/>
    </row>
    <row r="28" ht="15.75" hidden="1" customHeight="1">
      <c r="A28" s="68" t="s">
        <v>232</v>
      </c>
      <c r="B28" s="83"/>
    </row>
    <row r="29" ht="15.75" hidden="1" customHeight="1">
      <c r="A29" s="68" t="s">
        <v>233</v>
      </c>
      <c r="B29" s="79" t="s">
        <v>227</v>
      </c>
    </row>
    <row r="30" ht="15.75" hidden="1" customHeight="1">
      <c r="A30" s="68" t="s">
        <v>234</v>
      </c>
    </row>
    <row r="31" ht="15.75" hidden="1" customHeight="1">
      <c r="A31" s="68" t="s">
        <v>235</v>
      </c>
    </row>
    <row r="32" ht="15.75" hidden="1" customHeight="1">
      <c r="A32" s="68" t="s">
        <v>236</v>
      </c>
    </row>
    <row r="33" ht="15.75" hidden="1" customHeight="1">
      <c r="A33" s="68" t="s">
        <v>237</v>
      </c>
    </row>
    <row r="34" ht="15.75" hidden="1" customHeight="1">
      <c r="A34" s="68" t="s">
        <v>238</v>
      </c>
      <c r="B34" s="83"/>
    </row>
    <row r="35" ht="15.75" hidden="1" customHeight="1">
      <c r="A35" s="68" t="s">
        <v>239</v>
      </c>
      <c r="B35" s="83"/>
    </row>
    <row r="36" ht="15.75" hidden="1" customHeight="1">
      <c r="A36" s="68" t="s">
        <v>240</v>
      </c>
      <c r="B36" s="83"/>
    </row>
    <row r="37" ht="15.75" hidden="1" customHeight="1">
      <c r="A37" s="68" t="s">
        <v>241</v>
      </c>
      <c r="B37" s="83"/>
    </row>
    <row r="38" ht="15.75" hidden="1" customHeight="1">
      <c r="A38" s="68" t="s">
        <v>242</v>
      </c>
      <c r="B38" s="83"/>
    </row>
    <row r="39" ht="15.75" hidden="1" customHeight="1">
      <c r="A39" s="68" t="s">
        <v>243</v>
      </c>
      <c r="B39" s="83" t="s">
        <v>244</v>
      </c>
    </row>
    <row r="40" ht="15.75" hidden="1" customHeight="1">
      <c r="A40" s="68" t="s">
        <v>245</v>
      </c>
      <c r="B40" s="83" t="s">
        <v>244</v>
      </c>
    </row>
    <row r="41" ht="15.75" hidden="1" customHeight="1">
      <c r="A41" s="68" t="s">
        <v>246</v>
      </c>
      <c r="B41" s="83" t="s">
        <v>244</v>
      </c>
    </row>
    <row r="42" ht="15.75" hidden="1" customHeight="1">
      <c r="A42" s="68" t="s">
        <v>247</v>
      </c>
      <c r="B42" s="83" t="s">
        <v>244</v>
      </c>
    </row>
    <row r="43" ht="15.75" hidden="1" customHeight="1">
      <c r="A43" s="68" t="s">
        <v>248</v>
      </c>
      <c r="B43" s="83" t="s">
        <v>244</v>
      </c>
    </row>
    <row r="44" ht="15.75" hidden="1" customHeight="1">
      <c r="A44" s="68" t="s">
        <v>249</v>
      </c>
      <c r="B44" s="83" t="s">
        <v>244</v>
      </c>
    </row>
    <row r="45" ht="15.75" hidden="1" customHeight="1">
      <c r="A45" s="68" t="s">
        <v>250</v>
      </c>
      <c r="B45" s="83" t="s">
        <v>244</v>
      </c>
    </row>
    <row r="46" ht="15.75" hidden="1" customHeight="1">
      <c r="A46" s="68" t="s">
        <v>251</v>
      </c>
      <c r="B46" s="83" t="s">
        <v>244</v>
      </c>
    </row>
    <row r="47" ht="15.75" hidden="1" customHeight="1">
      <c r="A47" s="68" t="s">
        <v>252</v>
      </c>
      <c r="B47" s="83" t="s">
        <v>244</v>
      </c>
    </row>
    <row r="48" ht="15.75" hidden="1" customHeight="1">
      <c r="A48" s="68" t="s">
        <v>253</v>
      </c>
      <c r="B48" s="83" t="s">
        <v>244</v>
      </c>
    </row>
    <row r="49" ht="15.75" hidden="1" customHeight="1">
      <c r="A49" s="68" t="s">
        <v>254</v>
      </c>
      <c r="B49" s="83" t="s">
        <v>244</v>
      </c>
    </row>
    <row r="50" ht="15.75" hidden="1" customHeight="1"/>
    <row r="51" ht="15.75" hidden="1" customHeight="1">
      <c r="A51" s="230" t="s">
        <v>255</v>
      </c>
      <c r="B51" s="83"/>
    </row>
    <row r="52" ht="15.75" hidden="1" customHeight="1">
      <c r="A52" s="68"/>
      <c r="B52" s="83"/>
    </row>
    <row r="53" ht="15.75" hidden="1" customHeight="1">
      <c r="A53" s="68"/>
      <c r="B53" s="83"/>
    </row>
    <row r="54" ht="15.75" hidden="1" customHeight="1">
      <c r="A54" s="68"/>
      <c r="B54" s="83"/>
    </row>
    <row r="55" ht="15.75" hidden="1" customHeight="1">
      <c r="A55" s="68" t="s">
        <v>256</v>
      </c>
      <c r="B55" s="83"/>
    </row>
    <row r="56" ht="15.75" hidden="1" customHeight="1">
      <c r="A56" s="68" t="s">
        <v>257</v>
      </c>
      <c r="B56" s="83"/>
    </row>
    <row r="57" ht="15.75" customHeight="1">
      <c r="B57" s="83"/>
    </row>
    <row r="58" ht="15.75" customHeight="1">
      <c r="B58" s="83"/>
    </row>
    <row r="59" ht="15.75" customHeight="1">
      <c r="B59" s="83"/>
    </row>
    <row r="60" ht="15.75" customHeight="1">
      <c r="B60" s="83"/>
    </row>
    <row r="61" ht="15.75" customHeight="1">
      <c r="B61" s="83"/>
    </row>
    <row r="62" ht="15.75" customHeight="1">
      <c r="B62" s="83"/>
    </row>
    <row r="63" ht="15.75" customHeight="1">
      <c r="B63" s="83"/>
    </row>
    <row r="64" ht="15.75" customHeight="1">
      <c r="B64" s="87"/>
    </row>
    <row r="65" ht="15.75" customHeight="1">
      <c r="B65" s="83"/>
    </row>
    <row r="66" ht="15.75" customHeight="1">
      <c r="B66" s="83"/>
    </row>
    <row r="67" ht="15.75" customHeight="1">
      <c r="B67" s="83"/>
    </row>
    <row r="68" ht="15.75" customHeight="1">
      <c r="B68" s="83"/>
    </row>
    <row r="69" ht="15.75" customHeight="1">
      <c r="B69" s="83"/>
    </row>
    <row r="70" ht="15.75" customHeight="1">
      <c r="B70" s="83"/>
    </row>
    <row r="71" ht="15.75" customHeight="1">
      <c r="B71" s="83"/>
    </row>
    <row r="72" ht="15.75" customHeight="1">
      <c r="B72" s="83"/>
    </row>
    <row r="73" ht="15.75" customHeight="1">
      <c r="B73" s="83"/>
    </row>
    <row r="74" ht="15.75" customHeight="1">
      <c r="B74" s="83"/>
    </row>
    <row r="75" ht="15.75" customHeight="1">
      <c r="B75" s="83"/>
    </row>
    <row r="76" ht="15.75" customHeight="1">
      <c r="B76" s="83"/>
    </row>
    <row r="77" ht="15.75" customHeight="1">
      <c r="B77" s="83"/>
    </row>
    <row r="78" ht="15.75" customHeight="1">
      <c r="B78" s="83"/>
    </row>
    <row r="79" ht="15.75" customHeight="1">
      <c r="B79" s="83"/>
    </row>
    <row r="80" ht="15.75" customHeight="1">
      <c r="B80" s="83"/>
    </row>
    <row r="81" ht="15.75" customHeight="1">
      <c r="B81" s="83"/>
    </row>
    <row r="82" ht="15.75" customHeight="1">
      <c r="B82" s="83"/>
    </row>
    <row r="83" ht="15.75" customHeight="1">
      <c r="B83" s="83"/>
    </row>
    <row r="84" ht="15.75" customHeight="1">
      <c r="B84" s="83"/>
    </row>
    <row r="85" ht="15.75" customHeight="1">
      <c r="B85" s="83"/>
    </row>
    <row r="86" ht="15.75" customHeight="1">
      <c r="B86" s="83"/>
    </row>
    <row r="87" ht="15.75" customHeight="1">
      <c r="B87" s="83"/>
    </row>
    <row r="88" ht="15.75" customHeight="1">
      <c r="B88" s="83"/>
    </row>
    <row r="89" ht="15.75" customHeight="1">
      <c r="B89" s="83"/>
    </row>
    <row r="90" ht="15.75" customHeight="1">
      <c r="B90" s="83"/>
    </row>
    <row r="91" ht="15.75" customHeight="1">
      <c r="B91" s="83"/>
    </row>
    <row r="92" ht="15.75" customHeight="1">
      <c r="B92" s="83"/>
    </row>
    <row r="93" ht="15.75" customHeight="1">
      <c r="B93" s="83"/>
    </row>
    <row r="94" ht="15.75" customHeight="1">
      <c r="B94" s="83"/>
    </row>
    <row r="95" ht="15.75" customHeight="1">
      <c r="B95" s="83"/>
    </row>
    <row r="96" ht="15.75" customHeight="1">
      <c r="B96" s="83"/>
    </row>
    <row r="97" ht="15.75" customHeight="1">
      <c r="B97" s="83"/>
    </row>
    <row r="98" ht="15.75" customHeight="1">
      <c r="B98" s="83"/>
    </row>
    <row r="99" ht="15.75" customHeight="1">
      <c r="B99" s="83"/>
    </row>
    <row r="100" ht="15.75" customHeight="1">
      <c r="B100" s="83"/>
    </row>
    <row r="101" ht="15.75" customHeight="1">
      <c r="B101" s="83"/>
    </row>
    <row r="102" ht="15.75" customHeight="1">
      <c r="B102" s="83"/>
    </row>
    <row r="103" ht="15.75" customHeight="1">
      <c r="B103" s="83"/>
    </row>
    <row r="104" ht="15.75" customHeight="1">
      <c r="B104" s="83"/>
    </row>
    <row r="105" ht="15.75" customHeight="1">
      <c r="B105" s="83"/>
    </row>
    <row r="106" ht="15.75" customHeight="1">
      <c r="B106" s="83"/>
    </row>
    <row r="107" ht="15.75" customHeight="1">
      <c r="B107" s="83"/>
    </row>
    <row r="108" ht="15.75" customHeight="1">
      <c r="B108" s="83"/>
    </row>
    <row r="109" ht="15.75" customHeight="1">
      <c r="B109" s="83"/>
    </row>
    <row r="110" ht="15.75" customHeight="1">
      <c r="B110" s="83"/>
    </row>
    <row r="111" ht="15.75" customHeight="1">
      <c r="B111" s="83"/>
    </row>
    <row r="112" ht="15.75" customHeight="1">
      <c r="B112" s="83"/>
    </row>
    <row r="113" ht="15.75" customHeight="1">
      <c r="B113" s="83"/>
    </row>
    <row r="114" ht="15.75" customHeight="1">
      <c r="B114" s="83"/>
    </row>
    <row r="115" ht="15.75" customHeight="1">
      <c r="B115" s="83"/>
    </row>
    <row r="116" ht="15.75" customHeight="1">
      <c r="B116" s="83"/>
    </row>
    <row r="117" ht="15.75" customHeight="1">
      <c r="B117" s="83"/>
    </row>
    <row r="118" ht="15.75" customHeight="1">
      <c r="B118" s="83"/>
    </row>
    <row r="119" ht="15.75" customHeight="1">
      <c r="B119" s="83"/>
    </row>
    <row r="120" ht="15.75" customHeight="1">
      <c r="B120" s="83"/>
    </row>
    <row r="121" ht="15.75" customHeight="1">
      <c r="B121" s="83"/>
    </row>
    <row r="122" ht="15.75" customHeight="1">
      <c r="B122" s="83"/>
    </row>
    <row r="123" ht="15.75" customHeight="1">
      <c r="B123" s="83"/>
    </row>
    <row r="124" ht="15.75" customHeight="1">
      <c r="B124" s="83"/>
    </row>
    <row r="125" ht="15.75" customHeight="1">
      <c r="B125" s="83"/>
    </row>
    <row r="126" ht="15.75" customHeight="1">
      <c r="B126" s="83"/>
    </row>
    <row r="127" ht="15.75" customHeight="1">
      <c r="B127" s="83"/>
    </row>
    <row r="128" ht="15.75" customHeight="1">
      <c r="B128" s="83"/>
    </row>
    <row r="129" ht="15.75" customHeight="1">
      <c r="B129" s="83"/>
    </row>
    <row r="130" ht="15.75" customHeight="1">
      <c r="B130" s="83"/>
    </row>
    <row r="131" ht="15.75" customHeight="1">
      <c r="B131" s="83"/>
    </row>
    <row r="132" ht="15.75" customHeight="1">
      <c r="B132" s="83"/>
    </row>
    <row r="133" ht="15.75" customHeight="1">
      <c r="B133" s="83"/>
    </row>
    <row r="134" ht="15.75" customHeight="1">
      <c r="B134" s="83"/>
    </row>
    <row r="135" ht="15.75" customHeight="1">
      <c r="B135" s="83"/>
    </row>
    <row r="136" ht="15.75" customHeight="1">
      <c r="B136" s="83"/>
    </row>
    <row r="137" ht="15.75" customHeight="1">
      <c r="B137" s="83"/>
    </row>
    <row r="138" ht="15.75" customHeight="1">
      <c r="B138" s="83"/>
    </row>
    <row r="139" ht="15.75" customHeight="1">
      <c r="B139" s="83"/>
    </row>
    <row r="140" ht="15.75" customHeight="1">
      <c r="B140" s="83"/>
    </row>
    <row r="141" ht="15.75" customHeight="1">
      <c r="B141" s="83"/>
    </row>
    <row r="142" ht="15.75" customHeight="1">
      <c r="B142" s="83"/>
    </row>
    <row r="143" ht="15.75" customHeight="1">
      <c r="B143" s="83"/>
    </row>
    <row r="144" ht="15.75" customHeight="1">
      <c r="B144" s="83"/>
    </row>
    <row r="145" ht="15.75" customHeight="1">
      <c r="B145" s="83"/>
    </row>
    <row r="146" ht="15.75" customHeight="1">
      <c r="B146" s="83"/>
    </row>
    <row r="147" ht="15.75" customHeight="1">
      <c r="B147" s="83"/>
    </row>
    <row r="148" ht="15.75" customHeight="1">
      <c r="B148" s="83"/>
    </row>
    <row r="149" ht="15.75" customHeight="1">
      <c r="B149" s="83"/>
    </row>
    <row r="150" ht="15.75" customHeight="1">
      <c r="B150" s="83"/>
    </row>
    <row r="151" ht="15.75" customHeight="1">
      <c r="B151" s="83"/>
    </row>
    <row r="152" ht="15.75" customHeight="1">
      <c r="B152" s="83"/>
    </row>
    <row r="153" ht="15.75" customHeight="1">
      <c r="B153" s="83"/>
    </row>
    <row r="154" ht="15.75" customHeight="1">
      <c r="B154" s="83"/>
    </row>
    <row r="155" ht="15.75" customHeight="1">
      <c r="B155" s="83"/>
    </row>
    <row r="156" ht="15.75" customHeight="1">
      <c r="B156" s="83"/>
    </row>
    <row r="157" ht="15.75" customHeight="1">
      <c r="B157" s="83"/>
    </row>
    <row r="158" ht="15.75" customHeight="1">
      <c r="B158" s="83"/>
    </row>
    <row r="159" ht="15.75" customHeight="1">
      <c r="B159" s="83"/>
    </row>
    <row r="160" ht="15.75" customHeight="1">
      <c r="B160" s="83"/>
    </row>
    <row r="161" ht="15.75" customHeight="1">
      <c r="B161" s="83"/>
    </row>
    <row r="162" ht="15.75" customHeight="1">
      <c r="B162" s="83"/>
    </row>
    <row r="163" ht="15.75" customHeight="1">
      <c r="B163" s="83"/>
    </row>
    <row r="164" ht="15.75" customHeight="1">
      <c r="B164" s="83"/>
    </row>
    <row r="165" ht="15.75" customHeight="1">
      <c r="B165" s="83"/>
    </row>
    <row r="166" ht="15.75" customHeight="1">
      <c r="B166" s="83"/>
    </row>
    <row r="167" ht="15.75" customHeight="1">
      <c r="B167" s="83"/>
    </row>
    <row r="168" ht="15.75" customHeight="1">
      <c r="B168" s="83"/>
    </row>
    <row r="169" ht="15.75" customHeight="1">
      <c r="B169" s="83"/>
    </row>
    <row r="170" ht="15.75" customHeight="1">
      <c r="B170" s="83"/>
    </row>
    <row r="171" ht="15.75" customHeight="1">
      <c r="B171" s="83"/>
    </row>
    <row r="172" ht="15.75" customHeight="1">
      <c r="B172" s="83"/>
    </row>
    <row r="173" ht="15.75" customHeight="1">
      <c r="B173" s="83"/>
    </row>
    <row r="174" ht="15.75" customHeight="1">
      <c r="B174" s="83"/>
    </row>
    <row r="175" ht="15.75" customHeight="1">
      <c r="B175" s="83"/>
    </row>
    <row r="176" ht="15.75" customHeight="1">
      <c r="B176" s="83"/>
    </row>
    <row r="177" ht="15.75" customHeight="1">
      <c r="B177" s="83"/>
    </row>
    <row r="178" ht="15.75" customHeight="1">
      <c r="B178" s="83"/>
    </row>
    <row r="179" ht="15.75" customHeight="1">
      <c r="B179" s="83"/>
    </row>
    <row r="180" ht="15.75" customHeight="1">
      <c r="B180" s="83"/>
    </row>
    <row r="181" ht="15.75" customHeight="1">
      <c r="B181" s="83"/>
    </row>
    <row r="182" ht="15.75" customHeight="1">
      <c r="B182" s="83"/>
    </row>
    <row r="183" ht="15.75" customHeight="1">
      <c r="B183" s="83"/>
    </row>
    <row r="184" ht="15.75" customHeight="1">
      <c r="B184" s="83"/>
    </row>
    <row r="185" ht="15.75" customHeight="1">
      <c r="B185" s="83"/>
    </row>
    <row r="186" ht="15.75" customHeight="1">
      <c r="B186" s="83"/>
    </row>
    <row r="187" ht="15.75" customHeight="1">
      <c r="B187" s="83"/>
    </row>
    <row r="188" ht="15.75" customHeight="1">
      <c r="B188" s="83"/>
    </row>
    <row r="189" ht="15.75" customHeight="1">
      <c r="B189" s="83"/>
    </row>
    <row r="190" ht="15.75" customHeight="1">
      <c r="B190" s="83"/>
    </row>
    <row r="191" ht="15.75" customHeight="1">
      <c r="B191" s="83"/>
    </row>
    <row r="192" ht="15.75" customHeight="1">
      <c r="B192" s="83"/>
    </row>
    <row r="193" ht="15.75" customHeight="1">
      <c r="B193" s="83"/>
    </row>
    <row r="194" ht="15.75" customHeight="1">
      <c r="B194" s="83"/>
    </row>
    <row r="195" ht="15.75" customHeight="1">
      <c r="B195" s="83"/>
    </row>
    <row r="196" ht="15.75" customHeight="1">
      <c r="B196" s="83"/>
    </row>
    <row r="197" ht="15.75" customHeight="1">
      <c r="B197" s="83"/>
    </row>
    <row r="198" ht="15.75" customHeight="1">
      <c r="B198" s="83"/>
    </row>
    <row r="199" ht="15.75" customHeight="1">
      <c r="B199" s="83"/>
    </row>
    <row r="200" ht="15.75" customHeight="1">
      <c r="B200" s="83"/>
    </row>
    <row r="201" ht="15.75" customHeight="1">
      <c r="B201" s="83"/>
    </row>
    <row r="202" ht="15.75" customHeight="1">
      <c r="B202" s="83"/>
    </row>
    <row r="203" ht="15.75" customHeight="1">
      <c r="B203" s="83"/>
    </row>
    <row r="204" ht="15.75" customHeight="1">
      <c r="B204" s="83"/>
    </row>
    <row r="205" ht="15.75" customHeight="1">
      <c r="B205" s="83"/>
    </row>
    <row r="206" ht="15.75" customHeight="1">
      <c r="B206" s="83"/>
    </row>
    <row r="207" ht="15.75" customHeight="1">
      <c r="B207" s="83"/>
    </row>
    <row r="208" ht="15.75" customHeight="1">
      <c r="B208" s="83"/>
    </row>
    <row r="209" ht="15.75" customHeight="1">
      <c r="B209" s="83"/>
    </row>
    <row r="210" ht="15.75" customHeight="1">
      <c r="B210" s="83"/>
    </row>
    <row r="211" ht="15.75" customHeight="1">
      <c r="B211" s="83"/>
    </row>
    <row r="212" ht="15.75" customHeight="1">
      <c r="B212" s="83"/>
    </row>
    <row r="213" ht="15.75" customHeight="1">
      <c r="B213" s="83"/>
    </row>
    <row r="214" ht="15.75" customHeight="1">
      <c r="B214" s="83"/>
    </row>
    <row r="215" ht="15.75" customHeight="1">
      <c r="B215" s="83"/>
    </row>
    <row r="216" ht="15.75" customHeight="1">
      <c r="B216" s="83"/>
    </row>
    <row r="217" ht="15.75" customHeight="1">
      <c r="B217" s="83"/>
    </row>
    <row r="218" ht="15.75" customHeight="1">
      <c r="B218" s="83"/>
    </row>
    <row r="219" ht="15.75" customHeight="1">
      <c r="B219" s="83"/>
    </row>
    <row r="220" ht="15.75" customHeight="1">
      <c r="B220" s="83"/>
    </row>
    <row r="221" ht="15.75" customHeight="1">
      <c r="B221" s="83"/>
    </row>
    <row r="222" ht="15.75" customHeight="1">
      <c r="B222" s="83"/>
    </row>
    <row r="223" ht="15.75" customHeight="1">
      <c r="B223" s="83"/>
    </row>
    <row r="224" ht="15.75" customHeight="1">
      <c r="B224" s="83"/>
    </row>
    <row r="225" ht="15.75" customHeight="1">
      <c r="B225" s="83"/>
    </row>
    <row r="226" ht="15.75" customHeight="1">
      <c r="B226" s="83"/>
    </row>
    <row r="227" ht="15.75" customHeight="1">
      <c r="B227" s="83"/>
    </row>
    <row r="228" ht="15.75" customHeight="1">
      <c r="B228" s="83"/>
    </row>
    <row r="229" ht="15.75" customHeight="1">
      <c r="B229" s="83"/>
    </row>
    <row r="230" ht="15.75" customHeight="1">
      <c r="B230" s="83"/>
    </row>
    <row r="231" ht="15.75" customHeight="1">
      <c r="B231" s="83"/>
    </row>
    <row r="232" ht="15.75" customHeight="1">
      <c r="B232" s="83"/>
    </row>
    <row r="233" ht="15.75" customHeight="1">
      <c r="B233" s="83"/>
    </row>
    <row r="234" ht="15.75" customHeight="1">
      <c r="B234" s="83"/>
    </row>
    <row r="235" ht="15.75" customHeight="1">
      <c r="B235" s="83"/>
    </row>
    <row r="236" ht="15.75" customHeight="1">
      <c r="B236" s="83"/>
    </row>
    <row r="237" ht="15.75" customHeight="1">
      <c r="B237" s="83"/>
    </row>
    <row r="238" ht="15.75" customHeight="1">
      <c r="B238" s="83"/>
    </row>
    <row r="239" ht="15.75" customHeight="1">
      <c r="B239" s="83"/>
    </row>
    <row r="240" ht="15.75" customHeight="1">
      <c r="B240" s="83"/>
    </row>
    <row r="241" ht="15.75" customHeight="1">
      <c r="B241" s="83"/>
    </row>
    <row r="242" ht="15.75" customHeight="1">
      <c r="B242" s="83"/>
    </row>
    <row r="243" ht="15.75" customHeight="1">
      <c r="B243" s="83"/>
    </row>
    <row r="244" ht="15.75" customHeight="1">
      <c r="B244" s="83"/>
    </row>
    <row r="245" ht="15.75" customHeight="1">
      <c r="B245" s="83"/>
    </row>
    <row r="246" ht="15.75" customHeight="1">
      <c r="B246" s="83"/>
    </row>
    <row r="247" ht="15.75" customHeight="1">
      <c r="B247" s="83"/>
    </row>
    <row r="248" ht="15.75" customHeight="1">
      <c r="B248" s="83"/>
    </row>
    <row r="249" ht="15.75" customHeight="1">
      <c r="B249" s="83"/>
    </row>
    <row r="250" ht="15.75" customHeight="1">
      <c r="B250" s="83"/>
    </row>
    <row r="251" ht="15.75" customHeight="1">
      <c r="B251" s="83"/>
    </row>
    <row r="252" ht="15.75" customHeight="1">
      <c r="B252" s="83"/>
    </row>
    <row r="253" ht="15.75" customHeight="1">
      <c r="B253" s="83"/>
    </row>
    <row r="254" ht="15.75" customHeight="1">
      <c r="B254" s="83"/>
    </row>
    <row r="255" ht="15.75" customHeight="1">
      <c r="B255" s="83"/>
    </row>
    <row r="256" ht="15.75" customHeight="1">
      <c r="B256" s="83"/>
    </row>
    <row r="257" ht="15.75" customHeight="1">
      <c r="B257" s="83"/>
    </row>
    <row r="258" ht="15.75" customHeight="1">
      <c r="B258" s="83"/>
    </row>
    <row r="259" ht="15.75" customHeight="1">
      <c r="B259" s="83"/>
    </row>
    <row r="260" ht="15.75" customHeight="1">
      <c r="B260" s="83"/>
    </row>
    <row r="261" ht="15.75" customHeight="1">
      <c r="B261" s="83"/>
    </row>
    <row r="262" ht="15.75" customHeight="1">
      <c r="B262" s="83"/>
    </row>
    <row r="263" ht="15.75" customHeight="1">
      <c r="B263" s="83"/>
    </row>
    <row r="264" ht="15.75" customHeight="1">
      <c r="B264" s="83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6"/>
  <printOptions/>
  <pageMargins bottom="0.0" footer="0.0" header="0.0" left="0.0" right="0.0" top="0.0"/>
  <pageSetup orientation="landscape"/>
  <drawing r:id="rId1"/>
</worksheet>
</file>