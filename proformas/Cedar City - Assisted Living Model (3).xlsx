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 Overview" sheetId="1" r:id="rId5"/>
    <sheet state="visible" name="Sam Copy of Deal Overview" sheetId="2" r:id="rId6"/>
    <sheet state="visible" name="Sources and Uses" sheetId="3" r:id="rId7"/>
    <sheet state="visible" name="Bank Proforma" sheetId="4" r:id="rId8"/>
    <sheet state="visible" name="3 Year Proforma" sheetId="5" r:id="rId9"/>
    <sheet state="visible" name="Reimbursements" sheetId="6" r:id="rId10"/>
    <sheet state="visible" name="Capital Stack" sheetId="7" r:id="rId11"/>
    <sheet state="visible" name="Proforma" sheetId="8" r:id="rId12"/>
  </sheets>
  <definedNames>
    <definedName hidden="1" localSheetId="6" name="_xlnm._FilterDatabase">'Capital Stack'!$A$1:$J$16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tc={682df86e-45fa-4a63-81ac-14518c9cd2d6}</author>
  </authors>
  <commentList>
    <comment authorId="0" xr:uid="{682df86e-45fa-4a63-81ac-14518c9cd2d6}" ref="D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includes the Acquisition Fee
</t>
      </text>
    </comment>
  </commentList>
</comments>
</file>

<file path=xl/sharedStrings.xml><?xml version="1.0" encoding="utf-8"?>
<sst xmlns="http://schemas.openxmlformats.org/spreadsheetml/2006/main" count="520" uniqueCount="315">
  <si>
    <t>Deal Summary</t>
  </si>
  <si>
    <t>Sensitivity Analysis</t>
  </si>
  <si>
    <t>Cost Summary</t>
  </si>
  <si>
    <t xml:space="preserve">Cost </t>
  </si>
  <si>
    <t>Scenarios &gt;&gt;&gt;</t>
  </si>
  <si>
    <t>Disappointed</t>
  </si>
  <si>
    <t>Conservative</t>
  </si>
  <si>
    <t>Expected</t>
  </si>
  <si>
    <t>Aggressive</t>
  </si>
  <si>
    <t>Purchase Price</t>
  </si>
  <si>
    <t>Gross Potential Rent</t>
  </si>
  <si>
    <t>Vacancy</t>
  </si>
  <si>
    <t>Total Fees</t>
  </si>
  <si>
    <t>Other Income</t>
  </si>
  <si>
    <t>Total Equity</t>
  </si>
  <si>
    <t>Effective Gross Income</t>
  </si>
  <si>
    <t>Reserve</t>
  </si>
  <si>
    <t>Expenses</t>
  </si>
  <si>
    <t>Total Cost</t>
  </si>
  <si>
    <t>Management Fees 3rd Party</t>
  </si>
  <si>
    <t>Vega Asset Management Fees</t>
  </si>
  <si>
    <t>Total</t>
  </si>
  <si>
    <t>$</t>
  </si>
  <si>
    <t>%</t>
  </si>
  <si>
    <t>Misc Unexpected Expense Reserve</t>
  </si>
  <si>
    <t>Equity</t>
  </si>
  <si>
    <t>Net Operating Income</t>
  </si>
  <si>
    <t>Debt</t>
  </si>
  <si>
    <t>Total Required Capital From All Sources</t>
  </si>
  <si>
    <t>Annual Payment</t>
  </si>
  <si>
    <t>Cash Flow</t>
  </si>
  <si>
    <t>Investor Pref</t>
  </si>
  <si>
    <t>Remaining</t>
  </si>
  <si>
    <t>Sponsor Promote</t>
  </si>
  <si>
    <t>Investor Split</t>
  </si>
  <si>
    <t>Sponsor Split</t>
  </si>
  <si>
    <t>Total Investor Cash Flow Upon Stabilization</t>
  </si>
  <si>
    <t>1st Year Cash on Cash</t>
  </si>
  <si>
    <t xml:space="preserve">1st Year Principal Reduction </t>
  </si>
  <si>
    <t>Total 1st Year benefit</t>
  </si>
  <si>
    <t>2nd Year Cash on Cash</t>
  </si>
  <si>
    <t xml:space="preserve">2nd Year Principal Reduction </t>
  </si>
  <si>
    <t>Total 2ndYear benefit</t>
  </si>
  <si>
    <t>3rd Year Cash on Cash</t>
  </si>
  <si>
    <t xml:space="preserve">3rd Year Principal Reduction </t>
  </si>
  <si>
    <t>Total 3rdYear benefit</t>
  </si>
  <si>
    <t>4th Year Cash on Cash</t>
  </si>
  <si>
    <t xml:space="preserve">4thYear Principal Reduction </t>
  </si>
  <si>
    <t>Total 4th Year benefit</t>
  </si>
  <si>
    <t>5th Year Cash on Cash</t>
  </si>
  <si>
    <t xml:space="preserve">5th Year Principal Reduction </t>
  </si>
  <si>
    <t>Total 5th Year benefit</t>
  </si>
  <si>
    <t>Annualized Return</t>
  </si>
  <si>
    <t>Total Cash on Cash</t>
  </si>
  <si>
    <t xml:space="preserve">Total Principal Reduction </t>
  </si>
  <si>
    <t>Total benefit</t>
  </si>
  <si>
    <t>Target Exit Price (8% Cap Rate)</t>
  </si>
  <si>
    <t>Sale Cost at Year 3</t>
  </si>
  <si>
    <t>Loan Balance at Year 3</t>
  </si>
  <si>
    <t>Net Proceeds at Sale End of Year 3</t>
  </si>
  <si>
    <t>Profit</t>
  </si>
  <si>
    <t>Sponsor Fees</t>
  </si>
  <si>
    <t>Total Investor Benefit</t>
  </si>
  <si>
    <t>Total Investor Return</t>
  </si>
  <si>
    <t>Sources and Uses of Funds</t>
  </si>
  <si>
    <t>Acquisition Assumptions</t>
  </si>
  <si>
    <t>Lender</t>
  </si>
  <si>
    <t>Amount</t>
  </si>
  <si>
    <t>Interest Rate</t>
  </si>
  <si>
    <t>Term</t>
  </si>
  <si>
    <t>Monthly Payment</t>
  </si>
  <si>
    <t>Principal Reduction</t>
  </si>
  <si>
    <t>Year 1</t>
  </si>
  <si>
    <t>Year 2</t>
  </si>
  <si>
    <t>Year 3</t>
  </si>
  <si>
    <t>Year 4</t>
  </si>
  <si>
    <t>Year 5</t>
  </si>
  <si>
    <t>Total Project Cost</t>
  </si>
  <si>
    <t>1st Position</t>
  </si>
  <si>
    <t>1st Position Loan (Bank)</t>
  </si>
  <si>
    <t>2nd Position</t>
  </si>
  <si>
    <t>2nd Position Loan (SBA)</t>
  </si>
  <si>
    <t>Seller</t>
  </si>
  <si>
    <t>3rd Position Seller Finance</t>
  </si>
  <si>
    <t>Monthly Debt Service</t>
  </si>
  <si>
    <t>Total Principal Reduction</t>
  </si>
  <si>
    <t>Total Debt</t>
  </si>
  <si>
    <t>Annual Debt Service</t>
  </si>
  <si>
    <t>Loan Balance</t>
  </si>
  <si>
    <t>Down Payment</t>
  </si>
  <si>
    <t>Fees</t>
  </si>
  <si>
    <t>Total Sources and Uses</t>
  </si>
  <si>
    <t>Bank Fees</t>
  </si>
  <si>
    <t>Bank Required Down Payment</t>
  </si>
  <si>
    <t>Vega Capital Markets Fee</t>
  </si>
  <si>
    <t>Acquisition Fee</t>
  </si>
  <si>
    <t>Due Diligence Costs</t>
  </si>
  <si>
    <t xml:space="preserve">Total </t>
  </si>
  <si>
    <t>Closing Costs</t>
  </si>
  <si>
    <t>Heritage</t>
  </si>
  <si>
    <t>PHillip</t>
  </si>
  <si>
    <t>Summit</t>
  </si>
  <si>
    <t>Utah Bank</t>
  </si>
  <si>
    <t>Fund II</t>
  </si>
  <si>
    <t>TIC Agreement</t>
  </si>
  <si>
    <t>Closing Docs</t>
  </si>
  <si>
    <t>Fund II ***8204</t>
  </si>
  <si>
    <t>Journal Entry 1 - Acquisition fees</t>
  </si>
  <si>
    <t>Ownership</t>
  </si>
  <si>
    <t xml:space="preserve">Current Funds </t>
  </si>
  <si>
    <t>Transfer</t>
  </si>
  <si>
    <t>Account</t>
  </si>
  <si>
    <t>Debits</t>
  </si>
  <si>
    <t>Credits</t>
  </si>
  <si>
    <t>Fund II - Vega Cedar City AL LLC</t>
  </si>
  <si>
    <t>Acqusiition Fees</t>
  </si>
  <si>
    <t>Phillip Chipping</t>
  </si>
  <si>
    <t>Capital From Vega Assisted Living Fund II, LP</t>
  </si>
  <si>
    <t>Heritage Storage LLC</t>
  </si>
  <si>
    <t>&lt;---- This includes the capital for the excess land</t>
  </si>
  <si>
    <t>Summit Home Solutions LC</t>
  </si>
  <si>
    <t>Utah Bankruptcy Inc.</t>
  </si>
  <si>
    <t>Journal Entry 2 - Building/Mortgages</t>
  </si>
  <si>
    <t>Buildings</t>
  </si>
  <si>
    <t>To Townhomes</t>
  </si>
  <si>
    <t>Land</t>
  </si>
  <si>
    <t>Mortgages</t>
  </si>
  <si>
    <t>Capital from Summit Home Solutions</t>
  </si>
  <si>
    <t>Capital from Utah Bankruptcy Inc.</t>
  </si>
  <si>
    <t>Capital from Phillip Chipping</t>
  </si>
  <si>
    <t>Capital from Heritage Storage</t>
  </si>
  <si>
    <t>Capital from Vega Assisted Living Fund II</t>
  </si>
  <si>
    <t>Acqusiition Fee</t>
  </si>
  <si>
    <t>Inspections</t>
  </si>
  <si>
    <t>Legal</t>
  </si>
  <si>
    <t>Insurance</t>
  </si>
  <si>
    <t>Excess Land</t>
  </si>
  <si>
    <t>Excess Land Capital from Vega Assisted Living Fund II</t>
  </si>
  <si>
    <t>Fund II Journal Entry - Credit from Vega Property Holdings LLC</t>
  </si>
  <si>
    <t xml:space="preserve">Balance Sheet </t>
  </si>
  <si>
    <t>LP Capital Contributions</t>
  </si>
  <si>
    <t>Funds in Property Balance Sheet from Fund II</t>
  </si>
  <si>
    <t>Vega Sandy City AL LLC</t>
  </si>
  <si>
    <t>Funds in Fund Balance Sheet for Property</t>
  </si>
  <si>
    <t>Loan Consulting Fee Paid to Vega Capital Markets LLC</t>
  </si>
  <si>
    <t xml:space="preserve">Paid - transferred on </t>
  </si>
  <si>
    <t>There is $20,000 in Vega Capital Stack</t>
  </si>
  <si>
    <t>Opening Balance EQuity</t>
  </si>
  <si>
    <t>3 Year Historicals (Actuals)</t>
  </si>
  <si>
    <t>Year</t>
  </si>
  <si>
    <t>2025 YTD (march)</t>
  </si>
  <si>
    <t>2025 Annualized</t>
  </si>
  <si>
    <t>Proforma Year 1</t>
  </si>
  <si>
    <t>Proforma Year 2</t>
  </si>
  <si>
    <t>Proforma Year 3</t>
  </si>
  <si>
    <t>Proforma Year 4</t>
  </si>
  <si>
    <t>Proforma Year 5</t>
  </si>
  <si>
    <t>Potential Income</t>
  </si>
  <si>
    <t>Income</t>
  </si>
  <si>
    <t>Day Care</t>
  </si>
  <si>
    <t>Rental Income</t>
  </si>
  <si>
    <t>Move In Fees</t>
  </si>
  <si>
    <t>Total Income</t>
  </si>
  <si>
    <t>Accounting</t>
  </si>
  <si>
    <t>$ -</t>
  </si>
  <si>
    <t>Advertising/Promotional</t>
  </si>
  <si>
    <t>Bank Charges</t>
  </si>
  <si>
    <t>Business licenses/Permits</t>
  </si>
  <si>
    <t>Nursing</t>
  </si>
  <si>
    <t>Dietician</t>
  </si>
  <si>
    <t>Dues &amp; Subscriptions</t>
  </si>
  <si>
    <t>Administrator Expense</t>
  </si>
  <si>
    <t>Employee Expenses</t>
  </si>
  <si>
    <t>Franchise Fees</t>
  </si>
  <si>
    <t>Cleaning</t>
  </si>
  <si>
    <t>Household Supplies</t>
  </si>
  <si>
    <t>Management Fees</t>
  </si>
  <si>
    <t>General business expenses</t>
  </si>
  <si>
    <t>Liability insurance</t>
  </si>
  <si>
    <t>Property insurance</t>
  </si>
  <si>
    <t>Lease Payments - Equipment</t>
  </si>
  <si>
    <t>Medical Supplies</t>
  </si>
  <si>
    <t>Office expenses</t>
  </si>
  <si>
    <t>Operations Contract Service</t>
  </si>
  <si>
    <t>Placement Fees</t>
  </si>
  <si>
    <t>Raw Food</t>
  </si>
  <si>
    <t>Repairs &amp; maintenance</t>
  </si>
  <si>
    <t>Resident Activities</t>
  </si>
  <si>
    <t>Taxes paid</t>
  </si>
  <si>
    <t>Property taxes</t>
  </si>
  <si>
    <t>Personal Property Taxes</t>
  </si>
  <si>
    <t>Travel/Vehicle</t>
  </si>
  <si>
    <t>Utilities</t>
  </si>
  <si>
    <t>Misc Expense</t>
  </si>
  <si>
    <t>Total Expenses</t>
  </si>
  <si>
    <t>Proforma</t>
  </si>
  <si>
    <t>Actuals</t>
  </si>
  <si>
    <t>Vacancy @ 5%</t>
  </si>
  <si>
    <t>Excluded Expenses</t>
  </si>
  <si>
    <t>Owner HSA</t>
  </si>
  <si>
    <t>Owner Life Insurance</t>
  </si>
  <si>
    <t>Owner Salary</t>
  </si>
  <si>
    <t>Owner Vehicle</t>
  </si>
  <si>
    <t>Owner Storage Unit</t>
  </si>
  <si>
    <t>Owner Short Term Interst</t>
  </si>
  <si>
    <t>Owner Other Income</t>
  </si>
  <si>
    <t>Owner Mortgage Payment</t>
  </si>
  <si>
    <t>Check</t>
  </si>
  <si>
    <t>Deposited to</t>
  </si>
  <si>
    <t>Earnest Money</t>
  </si>
  <si>
    <t>Cory 1031 Money</t>
  </si>
  <si>
    <t>Apprisal</t>
  </si>
  <si>
    <t>Inspection</t>
  </si>
  <si>
    <t>Environmental</t>
  </si>
  <si>
    <t>Investor</t>
  </si>
  <si>
    <t>Name/Entity</t>
  </si>
  <si>
    <t>Final Ownership</t>
  </si>
  <si>
    <t>Email</t>
  </si>
  <si>
    <t>Identifier</t>
  </si>
  <si>
    <t>Signed Docs</t>
  </si>
  <si>
    <t>Wire</t>
  </si>
  <si>
    <t>Both</t>
  </si>
  <si>
    <t>Reached out</t>
  </si>
  <si>
    <t xml:space="preserve">Followed up. </t>
  </si>
  <si>
    <t>Cam Cope</t>
  </si>
  <si>
    <t>Maybe</t>
  </si>
  <si>
    <t>Bryan Griffiths</t>
  </si>
  <si>
    <t>Alex Smith</t>
  </si>
  <si>
    <t>Randy Clayton</t>
  </si>
  <si>
    <t>Ben Clayton</t>
  </si>
  <si>
    <t>Jeff Meihoffer</t>
  </si>
  <si>
    <t>Rich Toloti</t>
  </si>
  <si>
    <t>Woody Klemetson</t>
  </si>
  <si>
    <t>Sterling Snow</t>
  </si>
  <si>
    <t>Blakely Cragun</t>
  </si>
  <si>
    <t>Adam and Andrew Law</t>
  </si>
  <si>
    <t>Ray Dodd</t>
  </si>
  <si>
    <t>Todd Orullian</t>
  </si>
  <si>
    <t>Adam Christensen</t>
  </si>
  <si>
    <t>Matt Boardman</t>
  </si>
  <si>
    <t>Scott Eliason</t>
  </si>
  <si>
    <t>Devin Deaton</t>
  </si>
  <si>
    <t>No</t>
  </si>
  <si>
    <t>Cameron Lee</t>
  </si>
  <si>
    <t>Eric Motzkus</t>
  </si>
  <si>
    <t>Aaron Meier</t>
  </si>
  <si>
    <t>Mike Peterson</t>
  </si>
  <si>
    <t>Jon Waddoups</t>
  </si>
  <si>
    <t>Joel Reichert</t>
  </si>
  <si>
    <t>Brad and Emily Forsyth</t>
  </si>
  <si>
    <t>James Brewster</t>
  </si>
  <si>
    <t>Lance Jorgenson</t>
  </si>
  <si>
    <t>Dave Soper</t>
  </si>
  <si>
    <t>Potential Others</t>
  </si>
  <si>
    <t>American Enterprises</t>
  </si>
  <si>
    <t>Jake Despain</t>
  </si>
  <si>
    <t>Cap Rate</t>
  </si>
  <si>
    <t>Expense Ratio</t>
  </si>
  <si>
    <t>Misc Unforseen/Reserves</t>
  </si>
  <si>
    <t>Mortgage</t>
  </si>
  <si>
    <t>Asset Management Fees</t>
  </si>
  <si>
    <t>Net Cash Fow</t>
  </si>
  <si>
    <t>Return</t>
  </si>
  <si>
    <t>Sale Price</t>
  </si>
  <si>
    <t>Sale Costs</t>
  </si>
  <si>
    <t>Net Proceeds</t>
  </si>
  <si>
    <t>Investor Preferred Return</t>
  </si>
  <si>
    <t>Net Estimated Annual Cash Flow to Investors</t>
  </si>
  <si>
    <t>Estimated Return to Investors</t>
  </si>
  <si>
    <t>Total Sponsor Fees</t>
  </si>
  <si>
    <t>Cash flow Promote</t>
  </si>
  <si>
    <t>Disposition Fees if we sell</t>
  </si>
  <si>
    <t>Loan Fees</t>
  </si>
  <si>
    <t>Promote on Sale</t>
  </si>
  <si>
    <t>DO NOT DELETE THESE</t>
  </si>
  <si>
    <t>Monthly NOI</t>
  </si>
  <si>
    <t>Total Cash Flow</t>
  </si>
  <si>
    <t>Monthly Mortgage</t>
  </si>
  <si>
    <t>Total Profit at Sale</t>
  </si>
  <si>
    <t>Monthly Cash Flow Estimate</t>
  </si>
  <si>
    <t>Expenses Removed</t>
  </si>
  <si>
    <t>Total Investor Pref</t>
  </si>
  <si>
    <t>Related Party Rent</t>
  </si>
  <si>
    <t>Net to Split</t>
  </si>
  <si>
    <t>Owner Meals</t>
  </si>
  <si>
    <t>Sponsor</t>
  </si>
  <si>
    <t>Owner Travel</t>
  </si>
  <si>
    <t>Investor Total</t>
  </si>
  <si>
    <t>Vehicle Expense</t>
  </si>
  <si>
    <t>Interest Expense</t>
  </si>
  <si>
    <t>Year 0</t>
  </si>
  <si>
    <t>Net Proceeds from Sale</t>
  </si>
  <si>
    <t>Sponsor Share</t>
  </si>
  <si>
    <t>Total to Investor</t>
  </si>
  <si>
    <t>Irr</t>
  </si>
  <si>
    <t>Total Return</t>
  </si>
  <si>
    <t>Waterfall</t>
  </si>
  <si>
    <t>Preferred Return</t>
  </si>
  <si>
    <t>Total Proceeds</t>
  </si>
  <si>
    <t>80/20 - 10%</t>
  </si>
  <si>
    <t>Benchmark</t>
  </si>
  <si>
    <t>70/30 - 15%</t>
  </si>
  <si>
    <t>50/50</t>
  </si>
  <si>
    <t>8% Benchmark</t>
  </si>
  <si>
    <t>10% Benchmark</t>
  </si>
  <si>
    <t>15% Benchmark</t>
  </si>
  <si>
    <t>Bucket of money in the end</t>
  </si>
  <si>
    <t>80% to Investor</t>
  </si>
  <si>
    <t>20% to sponsor</t>
  </si>
  <si>
    <t>70% to Investor</t>
  </si>
  <si>
    <t>30% to sponsor</t>
  </si>
  <si>
    <t>50% to Investor</t>
  </si>
  <si>
    <t>50% to Sponsor</t>
  </si>
  <si>
    <t>Total to Sponsor</t>
  </si>
  <si>
    <t>Investor Total Return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</si>
</sst>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&quot;$&quot;#,##0"/>
    <numFmt numFmtId="165" formatCode="&quot;$&quot;#,##0.00"/>
    <numFmt numFmtId="166" formatCode="&quot;$&quot;#,##0.00_);\(&quot;$&quot;#,##0.00\)"/>
    <numFmt numFmtId="167" formatCode="&quot;$&quot;#,##0_);\(&quot;$&quot;#,##0\)"/>
    <numFmt numFmtId="168" formatCode="0.0%"/>
    <numFmt numFmtId="169" formatCode="m/d/yy"/>
    <numFmt numFmtId="170" formatCode="m\-d\-yy"/>
    <numFmt numFmtId="171" formatCode="_(&quot;$&quot;* #,##0.00_);_(&quot;$&quot;* \(#,##0.00\);_(&quot;$&quot;* &quot;-&quot;??_);_(@_)"/>
    <numFmt numFmtId="172" formatCode="m-d-yy"/>
    <numFmt numFmtId="173" formatCode="&quot;$&quot;#,##0.00_);[Red]\(&quot;$&quot;#,##0.00\)"/>
    <numFmt numFmtId="174" formatCode="_([$$-409]* #,##0.00_);_([$$-409]* \(#,##0.00\);_([$$-409]* &quot;-&quot;??_);_(@_)"/>
    <numFmt numFmtId="175" formatCode="0.0000%"/>
  </numFmts>
  <fonts count="26">
    <font>
      <sz val="10.0"/>
      <color rgb="FF000000"/>
      <name val="Arial"/>
      <scheme val="minor"/>
    </font>
    <font>
      <color theme="1"/>
      <name val="Arial"/>
    </font>
    <font>
      <b/>
      <sz val="16.0"/>
      <color theme="1"/>
      <name val="Calibri"/>
    </font>
    <font>
      <b/>
      <color rgb="FFFFFFFF"/>
      <name val="Arial"/>
    </font>
    <font>
      <b/>
      <i/>
      <color theme="1"/>
      <name val="Arial"/>
    </font>
    <font>
      <b/>
      <color theme="1"/>
      <name val="Arial"/>
    </font>
    <font>
      <b/>
      <color rgb="FF0000FF"/>
      <name val="Arial"/>
    </font>
    <font>
      <b/>
      <color theme="1"/>
      <name val="Arial"/>
      <scheme val="minor"/>
    </font>
    <font>
      <b/>
      <sz val="11.0"/>
      <color rgb="FFFFFFFF"/>
      <name val="Calibri"/>
    </font>
    <font/>
    <font>
      <sz val="11.0"/>
      <color theme="1"/>
      <name val="Calibri"/>
    </font>
    <font>
      <sz val="11.0"/>
      <color rgb="FF0000FF"/>
      <name val="Calibri"/>
    </font>
    <font>
      <sz val="11.0"/>
      <color rgb="FF000000"/>
      <name val="Calibri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sz val="10.0"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0.0"/>
      <color rgb="FF000000"/>
      <name val="Arial"/>
    </font>
    <font>
      <sz val="11.0"/>
      <color rgb="FF000000"/>
      <name val="Aptos Narrow"/>
    </font>
    <font>
      <b/>
      <u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0396F"/>
        <bgColor rgb="FF00396F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92D050"/>
        <bgColor rgb="FF92D050"/>
      </patternFill>
    </fill>
  </fills>
  <borders count="31">
    <border/>
    <border>
      <bottom style="thick">
        <color rgb="FF0072DF"/>
      </bottom>
    </border>
    <border>
      <left/>
      <right/>
      <top/>
      <bottom/>
    </border>
    <border>
      <lef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/>
      <bottom/>
    </border>
    <border>
      <top style="thin">
        <color rgb="FF000000"/>
      </top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/>
      <bottom/>
    </border>
    <border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3" fillId="4" fontId="3" numFmtId="0" xfId="0" applyAlignment="1" applyBorder="1" applyFill="1" applyFont="1">
      <alignment horizontal="center" vertical="bottom"/>
    </xf>
    <xf borderId="4" fillId="5" fontId="3" numFmtId="0" xfId="0" applyAlignment="1" applyBorder="1" applyFill="1" applyFont="1">
      <alignment horizontal="center" vertical="bottom"/>
    </xf>
    <xf borderId="5" fillId="6" fontId="3" numFmtId="0" xfId="0" applyAlignment="1" applyBorder="1" applyFill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6" fillId="7" fontId="4" numFmtId="0" xfId="0" applyAlignment="1" applyBorder="1" applyFill="1" applyFont="1">
      <alignment vertical="bottom"/>
    </xf>
    <xf borderId="6" fillId="7" fontId="4" numFmtId="166" xfId="0" applyAlignment="1" applyBorder="1" applyFont="1" applyNumberFormat="1">
      <alignment horizontal="right" vertical="bottom"/>
    </xf>
    <xf borderId="7" fillId="7" fontId="4" numFmtId="166" xfId="0" applyAlignment="1" applyBorder="1" applyFont="1" applyNumberFormat="1">
      <alignment horizontal="right" vertical="bottom"/>
    </xf>
    <xf borderId="8" fillId="7" fontId="4" numFmtId="166" xfId="0" applyAlignment="1" applyBorder="1" applyFont="1" applyNumberFormat="1">
      <alignment horizontal="right" vertical="bottom"/>
    </xf>
    <xf borderId="9" fillId="7" fontId="4" numFmtId="166" xfId="0" applyAlignment="1" applyBorder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10" fillId="0" fontId="1" numFmtId="167" xfId="0" applyAlignment="1" applyBorder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10" fillId="0" fontId="1" numFmtId="164" xfId="0" applyAlignment="1" applyBorder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11" fillId="0" fontId="5" numFmtId="0" xfId="0" applyAlignment="1" applyBorder="1" applyFont="1">
      <alignment vertical="bottom"/>
    </xf>
    <xf borderId="11" fillId="0" fontId="5" numFmtId="164" xfId="0" applyAlignment="1" applyBorder="1" applyFont="1" applyNumberFormat="1">
      <alignment horizontal="center" vertical="bottom"/>
    </xf>
    <xf borderId="11" fillId="0" fontId="1" numFmtId="165" xfId="0" applyAlignment="1" applyBorder="1" applyFont="1" applyNumberFormat="1">
      <alignment vertical="bottom"/>
    </xf>
    <xf borderId="0" fillId="0" fontId="1" numFmtId="9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7" xfId="0" applyAlignment="1" applyFont="1" applyNumberFormat="1">
      <alignment horizontal="right" vertical="bottom"/>
    </xf>
    <xf borderId="12" fillId="0" fontId="5" numFmtId="167" xfId="0" applyAlignment="1" applyBorder="1" applyFont="1" applyNumberFormat="1">
      <alignment horizontal="right" vertical="bottom"/>
    </xf>
    <xf borderId="10" fillId="0" fontId="5" numFmtId="167" xfId="0" applyAlignment="1" applyBorder="1" applyFont="1" applyNumberFormat="1">
      <alignment horizontal="right" vertical="bottom"/>
    </xf>
    <xf borderId="0" fillId="0" fontId="1" numFmtId="167" xfId="0" applyAlignment="1" applyFont="1" applyNumberFormat="1">
      <alignment vertical="bottom"/>
    </xf>
    <xf borderId="10" fillId="0" fontId="1" numFmtId="167" xfId="0" applyAlignment="1" applyBorder="1" applyFont="1" applyNumberFormat="1">
      <alignment vertical="bottom"/>
    </xf>
    <xf borderId="11" fillId="0" fontId="5" numFmtId="0" xfId="0" applyAlignment="1" applyBorder="1" applyFont="1">
      <alignment shrinkToFit="0" vertical="bottom" wrapText="1"/>
    </xf>
    <xf borderId="11" fillId="0" fontId="6" numFmtId="164" xfId="0" applyAlignment="1" applyBorder="1" applyFont="1" applyNumberFormat="1">
      <alignment horizontal="right" vertical="bottom"/>
    </xf>
    <xf borderId="11" fillId="0" fontId="5" numFmtId="9" xfId="0" applyAlignment="1" applyBorder="1" applyFont="1" applyNumberFormat="1">
      <alignment horizontal="right" vertical="bottom"/>
    </xf>
    <xf borderId="2" fillId="7" fontId="4" numFmtId="0" xfId="0" applyAlignment="1" applyBorder="1" applyFont="1">
      <alignment vertical="bottom"/>
    </xf>
    <xf borderId="2" fillId="7" fontId="4" numFmtId="165" xfId="0" applyAlignment="1" applyBorder="1" applyFont="1" applyNumberFormat="1">
      <alignment horizontal="right" vertical="bottom"/>
    </xf>
    <xf borderId="3" fillId="7" fontId="4" numFmtId="165" xfId="0" applyAlignment="1" applyBorder="1" applyFont="1" applyNumberFormat="1">
      <alignment horizontal="right" vertical="bottom"/>
    </xf>
    <xf borderId="13" fillId="7" fontId="4" numFmtId="165" xfId="0" applyAlignment="1" applyBorder="1" applyFont="1" applyNumberFormat="1">
      <alignment horizontal="right" vertical="bottom"/>
    </xf>
    <xf borderId="5" fillId="7" fontId="4" numFmtId="165" xfId="0" applyAlignment="1" applyBorder="1" applyFont="1" applyNumberFormat="1">
      <alignment horizontal="right" vertical="bottom"/>
    </xf>
    <xf borderId="14" fillId="0" fontId="5" numFmtId="0" xfId="0" applyAlignment="1" applyBorder="1" applyFont="1">
      <alignment vertical="bottom"/>
    </xf>
    <xf borderId="11" fillId="0" fontId="5" numFmtId="167" xfId="0" applyAlignment="1" applyBorder="1" applyFont="1" applyNumberFormat="1">
      <alignment horizontal="right" vertical="bottom"/>
    </xf>
    <xf borderId="8" fillId="0" fontId="5" numFmtId="167" xfId="0" applyAlignment="1" applyBorder="1" applyFont="1" applyNumberFormat="1">
      <alignment horizontal="right" vertical="bottom"/>
    </xf>
    <xf borderId="2" fillId="2" fontId="3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2" fillId="2" fontId="3" numFmtId="10" xfId="0" applyAlignment="1" applyBorder="1" applyFont="1" applyNumberFormat="1">
      <alignment horizontal="center" vertical="bottom"/>
    </xf>
    <xf borderId="0" fillId="0" fontId="1" numFmtId="10" xfId="0" applyAlignment="1" applyFont="1" applyNumberFormat="1">
      <alignment horizontal="center" vertical="bottom"/>
    </xf>
    <xf borderId="15" fillId="0" fontId="1" numFmtId="0" xfId="0" applyAlignment="1" applyBorder="1" applyFont="1">
      <alignment vertical="bottom"/>
    </xf>
    <xf borderId="15" fillId="0" fontId="1" numFmtId="164" xfId="0" applyAlignment="1" applyBorder="1" applyFont="1" applyNumberFormat="1">
      <alignment vertical="bottom"/>
    </xf>
    <xf borderId="15" fillId="0" fontId="1" numFmtId="10" xfId="0" applyAlignment="1" applyBorder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6" fillId="8" fontId="4" numFmtId="0" xfId="0" applyAlignment="1" applyBorder="1" applyFill="1" applyFont="1">
      <alignment readingOrder="0" vertical="bottom"/>
    </xf>
    <xf borderId="15" fillId="8" fontId="4" numFmtId="10" xfId="0" applyAlignment="1" applyBorder="1" applyFont="1" applyNumberFormat="1">
      <alignment horizontal="right" vertical="bottom"/>
    </xf>
    <xf borderId="8" fillId="8" fontId="4" numFmtId="10" xfId="0" applyAlignment="1" applyBorder="1" applyFont="1" applyNumberFormat="1">
      <alignment horizontal="right" vertical="bottom"/>
    </xf>
    <xf borderId="9" fillId="8" fontId="4" numFmtId="10" xfId="0" applyAlignment="1" applyBorder="1" applyFont="1" applyNumberFormat="1">
      <alignment horizontal="right" vertical="bottom"/>
    </xf>
    <xf borderId="16" fillId="8" fontId="4" numFmtId="0" xfId="0" applyAlignment="1" applyBorder="1" applyFont="1">
      <alignment vertical="bottom"/>
    </xf>
    <xf borderId="0" fillId="8" fontId="4" numFmtId="10" xfId="0" applyAlignment="1" applyFont="1" applyNumberFormat="1">
      <alignment horizontal="right" vertical="bottom"/>
    </xf>
    <xf borderId="16" fillId="8" fontId="4" numFmtId="0" xfId="0" applyAlignment="1" applyBorder="1" applyFont="1">
      <alignment vertical="bottom"/>
    </xf>
    <xf borderId="17" fillId="8" fontId="4" numFmtId="10" xfId="0" applyAlignment="1" applyBorder="1" applyFont="1" applyNumberFormat="1">
      <alignment horizontal="right" vertical="bottom"/>
    </xf>
    <xf borderId="0" fillId="0" fontId="1" numFmtId="168" xfId="0" applyAlignment="1" applyFont="1" applyNumberFormat="1">
      <alignment vertical="bottom"/>
    </xf>
    <xf borderId="0" fillId="0" fontId="1" numFmtId="169" xfId="0" applyAlignment="1" applyFont="1" applyNumberFormat="1">
      <alignment vertical="bottom"/>
    </xf>
    <xf borderId="0" fillId="0" fontId="1" numFmtId="170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171" xfId="0" applyAlignment="1" applyFont="1" applyNumberFormat="1">
      <alignment vertical="bottom"/>
    </xf>
    <xf borderId="0" fillId="0" fontId="7" numFmtId="0" xfId="0" applyAlignment="1" applyFont="1">
      <alignment readingOrder="0"/>
    </xf>
    <xf borderId="0" fillId="0" fontId="7" numFmtId="171" xfId="0" applyFont="1" applyNumberFormat="1"/>
    <xf borderId="0" fillId="0" fontId="5" numFmtId="10" xfId="0" applyAlignment="1" applyFont="1" applyNumberFormat="1">
      <alignment vertical="bottom"/>
    </xf>
    <xf borderId="1" fillId="0" fontId="2" numFmtId="0" xfId="0" applyBorder="1" applyFont="1"/>
    <xf borderId="3" fillId="2" fontId="8" numFmtId="0" xfId="0" applyAlignment="1" applyBorder="1" applyFont="1">
      <alignment horizontal="center"/>
    </xf>
    <xf borderId="18" fillId="0" fontId="9" numFmtId="0" xfId="0" applyBorder="1" applyFont="1"/>
    <xf borderId="5" fillId="0" fontId="9" numFmtId="0" xfId="0" applyBorder="1" applyFont="1"/>
    <xf borderId="2" fillId="2" fontId="8" numFmtId="0" xfId="0" applyAlignment="1" applyBorder="1" applyFont="1">
      <alignment horizontal="center"/>
    </xf>
    <xf borderId="0" fillId="0" fontId="1" numFmtId="0" xfId="0" applyAlignment="1" applyFont="1">
      <alignment vertical="bottom"/>
    </xf>
    <xf borderId="3" fillId="2" fontId="8" numFmtId="0" xfId="0" applyAlignment="1" applyBorder="1" applyFont="1">
      <alignment horizontal="center" vertical="bottom"/>
    </xf>
    <xf borderId="2" fillId="2" fontId="8" numFmtId="0" xfId="0" applyAlignment="1" applyBorder="1" applyFont="1">
      <alignment horizontal="center" vertical="bottom"/>
    </xf>
    <xf borderId="2" fillId="2" fontId="8" numFmtId="0" xfId="0" applyAlignment="1" applyBorder="1" applyFont="1">
      <alignment horizontal="center" vertical="bottom"/>
    </xf>
    <xf borderId="19" fillId="0" fontId="10" numFmtId="0" xfId="0" applyBorder="1" applyFont="1"/>
    <xf borderId="20" fillId="9" fontId="11" numFmtId="164" xfId="0" applyAlignment="1" applyBorder="1" applyFill="1" applyFont="1" applyNumberFormat="1">
      <alignment horizontal="right" readingOrder="0"/>
    </xf>
    <xf borderId="0" fillId="0" fontId="10" numFmtId="0" xfId="0" applyFont="1"/>
    <xf borderId="21" fillId="9" fontId="12" numFmtId="164" xfId="0" applyAlignment="1" applyBorder="1" applyFont="1" applyNumberFormat="1">
      <alignment horizontal="right"/>
    </xf>
    <xf borderId="0" fillId="0" fontId="13" numFmtId="10" xfId="0" applyAlignment="1" applyFont="1" applyNumberFormat="1">
      <alignment readingOrder="0"/>
    </xf>
    <xf borderId="0" fillId="0" fontId="13" numFmtId="0" xfId="0" applyFont="1"/>
    <xf borderId="0" fillId="0" fontId="13" numFmtId="165" xfId="0" applyFont="1" applyNumberFormat="1"/>
    <xf borderId="0" fillId="0" fontId="1" numFmtId="165" xfId="0" applyAlignment="1" applyFont="1" applyNumberFormat="1">
      <alignment vertical="bottom"/>
    </xf>
    <xf borderId="15" fillId="0" fontId="1" numFmtId="165" xfId="0" applyAlignment="1" applyBorder="1" applyFont="1" applyNumberFormat="1">
      <alignment horizontal="right" vertical="bottom"/>
    </xf>
    <xf borderId="20" fillId="9" fontId="11" numFmtId="9" xfId="0" applyAlignment="1" applyBorder="1" applyFont="1" applyNumberFormat="1">
      <alignment horizontal="right" readingOrder="0"/>
    </xf>
    <xf borderId="20" fillId="9" fontId="12" numFmtId="164" xfId="0" applyAlignment="1" applyBorder="1" applyFont="1" applyNumberFormat="1">
      <alignment horizontal="right" readingOrder="0"/>
    </xf>
    <xf borderId="15" fillId="0" fontId="10" numFmtId="0" xfId="0" applyBorder="1" applyFont="1"/>
    <xf borderId="22" fillId="9" fontId="12" numFmtId="164" xfId="0" applyAlignment="1" applyBorder="1" applyFont="1" applyNumberFormat="1">
      <alignment horizontal="right"/>
    </xf>
    <xf borderId="15" fillId="0" fontId="13" numFmtId="10" xfId="0" applyBorder="1" applyFont="1" applyNumberFormat="1"/>
    <xf borderId="15" fillId="0" fontId="13" numFmtId="0" xfId="0" applyBorder="1" applyFont="1"/>
    <xf borderId="15" fillId="0" fontId="13" numFmtId="165" xfId="0" applyBorder="1" applyFont="1" applyNumberFormat="1"/>
    <xf borderId="20" fillId="9" fontId="12" numFmtId="164" xfId="0" applyAlignment="1" applyBorder="1" applyFont="1" applyNumberFormat="1">
      <alignment horizontal="right"/>
    </xf>
    <xf borderId="0" fillId="0" fontId="14" numFmtId="0" xfId="0" applyFont="1"/>
    <xf borderId="15" fillId="0" fontId="13" numFmtId="10" xfId="0" applyAlignment="1" applyBorder="1" applyFont="1" applyNumberFormat="1">
      <alignment readingOrder="0"/>
    </xf>
    <xf borderId="15" fillId="0" fontId="15" numFmtId="0" xfId="0" applyBorder="1" applyFont="1"/>
    <xf borderId="0" fillId="0" fontId="13" numFmtId="164" xfId="0" applyFont="1" applyNumberFormat="1"/>
    <xf borderId="0" fillId="0" fontId="1" numFmtId="165" xfId="0" applyAlignment="1" applyFont="1" applyNumberFormat="1">
      <alignment horizontal="right" vertical="bottom"/>
    </xf>
    <xf borderId="0" fillId="0" fontId="14" numFmtId="10" xfId="0" applyFont="1" applyNumberFormat="1"/>
    <xf borderId="20" fillId="9" fontId="11" numFmtId="10" xfId="0" applyAlignment="1" applyBorder="1" applyFont="1" applyNumberFormat="1">
      <alignment horizontal="right"/>
    </xf>
    <xf borderId="0" fillId="0" fontId="13" numFmtId="165" xfId="0" applyAlignment="1" applyFont="1" applyNumberFormat="1">
      <alignment readingOrder="0"/>
    </xf>
    <xf borderId="14" fillId="0" fontId="16" numFmtId="0" xfId="0" applyBorder="1" applyFont="1"/>
    <xf borderId="14" fillId="0" fontId="16" numFmtId="164" xfId="0" applyBorder="1" applyFont="1" applyNumberFormat="1"/>
    <xf borderId="0" fillId="0" fontId="14" numFmtId="0" xfId="0" applyAlignment="1" applyFont="1">
      <alignment readingOrder="0"/>
    </xf>
    <xf borderId="0" fillId="0" fontId="14" numFmtId="165" xfId="0" applyAlignment="1" applyFont="1" applyNumberFormat="1">
      <alignment readingOrder="0"/>
    </xf>
    <xf borderId="0" fillId="0" fontId="14" numFmtId="165" xfId="0" applyFont="1" applyNumberFormat="1"/>
    <xf borderId="0" fillId="10" fontId="14" numFmtId="165" xfId="0" applyAlignment="1" applyFill="1" applyFont="1" applyNumberFormat="1">
      <alignment readingOrder="0"/>
    </xf>
    <xf borderId="0" fillId="0" fontId="14" numFmtId="164" xfId="0" applyFont="1" applyNumberFormat="1"/>
    <xf borderId="0" fillId="0" fontId="17" numFmtId="0" xfId="0" applyAlignment="1" applyFont="1">
      <alignment readingOrder="0" vertical="bottom"/>
    </xf>
    <xf borderId="0" fillId="11" fontId="18" numFmtId="0" xfId="0" applyAlignment="1" applyFill="1" applyFont="1">
      <alignment readingOrder="0" vertical="bottom"/>
    </xf>
    <xf borderId="11" fillId="0" fontId="1" numFmtId="0" xfId="0" applyAlignment="1" applyBorder="1" applyFont="1">
      <alignment vertical="bottom"/>
    </xf>
    <xf borderId="0" fillId="0" fontId="1" numFmtId="10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readingOrder="0" vertical="bottom"/>
    </xf>
    <xf borderId="0" fillId="10" fontId="1" numFmtId="165" xfId="0" applyAlignment="1" applyFont="1" applyNumberFormat="1">
      <alignment horizontal="right" vertical="bottom"/>
    </xf>
    <xf borderId="15" fillId="0" fontId="1" numFmtId="164" xfId="0" applyAlignment="1" applyBorder="1" applyFont="1" applyNumberFormat="1">
      <alignment horizontal="right" readingOrder="0" vertical="bottom"/>
    </xf>
    <xf borderId="0" fillId="10" fontId="1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15" fillId="0" fontId="1" numFmtId="0" xfId="0" applyAlignment="1" applyBorder="1" applyFont="1">
      <alignment readingOrder="0" vertical="bottom"/>
    </xf>
    <xf borderId="15" fillId="0" fontId="1" numFmtId="10" xfId="0" applyAlignment="1" applyBorder="1" applyFont="1" applyNumberFormat="1">
      <alignment horizontal="right" readingOrder="0" vertical="bottom"/>
    </xf>
    <xf borderId="15" fillId="0" fontId="1" numFmtId="165" xfId="0" applyAlignment="1" applyBorder="1" applyFont="1" applyNumberFormat="1">
      <alignment horizontal="right" vertical="bottom"/>
    </xf>
    <xf borderId="11" fillId="11" fontId="19" numFmtId="0" xfId="0" applyAlignment="1" applyBorder="1" applyFont="1">
      <alignment readingOrder="0" vertical="bottom"/>
    </xf>
    <xf borderId="0" fillId="0" fontId="1" numFmtId="10" xfId="0" applyAlignment="1" applyFont="1" applyNumberFormat="1">
      <alignment horizontal="right" vertical="bottom"/>
    </xf>
    <xf borderId="0" fillId="0" fontId="1" numFmtId="165" xfId="0" applyAlignment="1" applyFont="1" applyNumberFormat="1">
      <alignment readingOrder="0" vertical="bottom"/>
    </xf>
    <xf borderId="15" fillId="0" fontId="1" numFmtId="165" xfId="0" applyAlignment="1" applyBorder="1" applyFont="1" applyNumberFormat="1">
      <alignment horizontal="right" readingOrder="0" vertical="bottom"/>
    </xf>
    <xf borderId="15" fillId="0" fontId="1" numFmtId="165" xfId="0" applyAlignment="1" applyBorder="1" applyFont="1" applyNumberFormat="1">
      <alignment vertical="bottom"/>
    </xf>
    <xf borderId="0" fillId="11" fontId="20" numFmtId="0" xfId="0" applyAlignment="1" applyFont="1">
      <alignment vertical="bottom"/>
    </xf>
    <xf borderId="15" fillId="0" fontId="1" numFmtId="172" xfId="0" applyAlignment="1" applyBorder="1" applyFont="1" applyNumberFormat="1">
      <alignment horizontal="right" vertical="bottom"/>
    </xf>
    <xf borderId="0" fillId="0" fontId="1" numFmtId="172" xfId="0" applyAlignment="1" applyFont="1" applyNumberFormat="1">
      <alignment horizontal="right" vertical="bottom"/>
    </xf>
    <xf borderId="0" fillId="10" fontId="1" numFmtId="0" xfId="0" applyAlignment="1" applyFont="1">
      <alignment readingOrder="0" vertical="bottom"/>
    </xf>
    <xf borderId="1" fillId="0" fontId="10" numFmtId="0" xfId="0" applyBorder="1" applyFont="1"/>
    <xf borderId="0" fillId="0" fontId="16" numFmtId="0" xfId="0" applyFont="1"/>
    <xf borderId="23" fillId="12" fontId="21" numFmtId="0" xfId="0" applyAlignment="1" applyBorder="1" applyFill="1" applyFont="1">
      <alignment horizontal="center" shrinkToFit="0" wrapText="1"/>
    </xf>
    <xf borderId="21" fillId="12" fontId="21" numFmtId="0" xfId="0" applyAlignment="1" applyBorder="1" applyFont="1">
      <alignment horizontal="center" shrinkToFit="0" wrapText="1"/>
    </xf>
    <xf borderId="21" fillId="12" fontId="21" numFmtId="0" xfId="0" applyAlignment="1" applyBorder="1" applyFont="1">
      <alignment horizontal="center" readingOrder="0" shrinkToFit="0" wrapText="1"/>
    </xf>
    <xf borderId="23" fillId="0" fontId="21" numFmtId="0" xfId="0" applyAlignment="1" applyBorder="1" applyFont="1">
      <alignment shrinkToFit="0" wrapText="1"/>
    </xf>
    <xf borderId="21" fillId="0" fontId="22" numFmtId="164" xfId="0" applyAlignment="1" applyBorder="1" applyFont="1" applyNumberFormat="1">
      <alignment shrinkToFit="0" wrapText="1"/>
    </xf>
    <xf borderId="0" fillId="0" fontId="15" numFmtId="0" xfId="0" applyFont="1"/>
    <xf borderId="23" fillId="13" fontId="21" numFmtId="0" xfId="0" applyAlignment="1" applyBorder="1" applyFill="1" applyFont="1">
      <alignment shrinkToFit="0" wrapText="1"/>
    </xf>
    <xf borderId="21" fillId="13" fontId="21" numFmtId="0" xfId="0" applyAlignment="1" applyBorder="1" applyFont="1">
      <alignment shrinkToFit="0" wrapText="1"/>
    </xf>
    <xf borderId="23" fillId="0" fontId="22" numFmtId="0" xfId="0" applyAlignment="1" applyBorder="1" applyFont="1">
      <alignment horizontal="left" shrinkToFit="0" wrapText="1"/>
    </xf>
    <xf borderId="21" fillId="0" fontId="13" numFmtId="167" xfId="0" applyBorder="1" applyFont="1" applyNumberFormat="1"/>
    <xf borderId="21" fillId="0" fontId="23" numFmtId="173" xfId="0" applyAlignment="1" applyBorder="1" applyFont="1" applyNumberFormat="1">
      <alignment horizontal="right" shrinkToFit="0" wrapText="1"/>
    </xf>
    <xf borderId="21" fillId="0" fontId="13" numFmtId="167" xfId="0" applyAlignment="1" applyBorder="1" applyFont="1" applyNumberFormat="1">
      <alignment readingOrder="0"/>
    </xf>
    <xf borderId="21" fillId="13" fontId="21" numFmtId="167" xfId="0" applyAlignment="1" applyBorder="1" applyFont="1" applyNumberFormat="1">
      <alignment shrinkToFit="0" wrapText="1"/>
    </xf>
    <xf borderId="23" fillId="0" fontId="24" numFmtId="0" xfId="0" applyAlignment="1" applyBorder="1" applyFont="1">
      <alignment shrinkToFit="0" wrapText="1"/>
    </xf>
    <xf borderId="0" fillId="0" fontId="1" numFmtId="167" xfId="0" applyAlignment="1" applyFont="1" applyNumberFormat="1">
      <alignment horizontal="right" readingOrder="0" vertical="bottom"/>
    </xf>
    <xf borderId="23" fillId="0" fontId="22" numFmtId="0" xfId="0" applyAlignment="1" applyBorder="1" applyFont="1">
      <alignment shrinkToFit="0" wrapText="1"/>
    </xf>
    <xf borderId="21" fillId="0" fontId="15" numFmtId="0" xfId="0" applyAlignment="1" applyBorder="1" applyFont="1">
      <alignment horizontal="right" shrinkToFit="0" wrapText="1"/>
    </xf>
    <xf borderId="21" fillId="0" fontId="15" numFmtId="173" xfId="0" applyAlignment="1" applyBorder="1" applyFont="1" applyNumberFormat="1">
      <alignment horizontal="right" shrinkToFit="0" wrapText="1"/>
    </xf>
    <xf borderId="21" fillId="0" fontId="13" numFmtId="166" xfId="0" applyAlignment="1" applyBorder="1" applyFont="1" applyNumberFormat="1">
      <alignment readingOrder="0"/>
    </xf>
    <xf borderId="21" fillId="0" fontId="13" numFmtId="166" xfId="0" applyBorder="1" applyFont="1" applyNumberFormat="1"/>
    <xf borderId="21" fillId="14" fontId="13" numFmtId="167" xfId="0" applyBorder="1" applyFill="1" applyFont="1" applyNumberFormat="1"/>
    <xf borderId="21" fillId="11" fontId="13" numFmtId="167" xfId="0" applyAlignment="1" applyBorder="1" applyFont="1" applyNumberFormat="1">
      <alignment readingOrder="0"/>
    </xf>
    <xf borderId="21" fillId="14" fontId="13" numFmtId="166" xfId="0" applyBorder="1" applyFont="1" applyNumberFormat="1"/>
    <xf borderId="21" fillId="14" fontId="13" numFmtId="167" xfId="0" applyAlignment="1" applyBorder="1" applyFont="1" applyNumberFormat="1">
      <alignment readingOrder="0"/>
    </xf>
    <xf borderId="21" fillId="0" fontId="15" numFmtId="0" xfId="0" applyAlignment="1" applyBorder="1" applyFont="1">
      <alignment shrinkToFit="0" wrapText="1"/>
    </xf>
    <xf borderId="0" fillId="0" fontId="15" numFmtId="167" xfId="0" applyFont="1" applyNumberFormat="1"/>
    <xf borderId="23" fillId="12" fontId="21" numFmtId="0" xfId="0" applyAlignment="1" applyBorder="1" applyFont="1">
      <alignment shrinkToFit="0" wrapText="1"/>
    </xf>
    <xf borderId="21" fillId="12" fontId="16" numFmtId="167" xfId="0" applyBorder="1" applyFont="1" applyNumberFormat="1"/>
    <xf borderId="21" fillId="12" fontId="5" numFmtId="167" xfId="0" applyAlignment="1" applyBorder="1" applyFont="1" applyNumberFormat="1">
      <alignment horizontal="right" vertical="bottom"/>
    </xf>
    <xf borderId="23" fillId="0" fontId="14" numFmtId="0" xfId="0" applyBorder="1" applyFont="1"/>
    <xf borderId="21" fillId="0" fontId="1" numFmtId="167" xfId="0" applyAlignment="1" applyBorder="1" applyFont="1" applyNumberFormat="1">
      <alignment vertical="bottom"/>
    </xf>
    <xf borderId="21" fillId="0" fontId="1" numFmtId="10" xfId="0" applyAlignment="1" applyBorder="1" applyFont="1" applyNumberFormat="1">
      <alignment horizontal="right" vertical="bottom"/>
    </xf>
    <xf borderId="24" fillId="0" fontId="1" numFmtId="167" xfId="0" applyAlignment="1" applyBorder="1" applyFont="1" applyNumberFormat="1">
      <alignment horizontal="right" vertical="bottom"/>
    </xf>
    <xf borderId="25" fillId="0" fontId="5" numFmtId="167" xfId="0" applyAlignment="1" applyBorder="1" applyFont="1" applyNumberFormat="1">
      <alignment horizontal="right" vertical="bottom"/>
    </xf>
    <xf borderId="26" fillId="0" fontId="1" numFmtId="166" xfId="0" applyAlignment="1" applyBorder="1" applyFont="1" applyNumberFormat="1">
      <alignment horizontal="right" vertical="bottom"/>
    </xf>
    <xf borderId="27" fillId="0" fontId="5" numFmtId="10" xfId="0" applyAlignment="1" applyBorder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28" fillId="15" fontId="3" numFmtId="0" xfId="0" applyAlignment="1" applyBorder="1" applyFill="1" applyFont="1">
      <alignment horizontal="center" vertical="bottom"/>
    </xf>
    <xf borderId="28" fillId="7" fontId="4" numFmtId="167" xfId="0" applyAlignment="1" applyBorder="1" applyFont="1" applyNumberFormat="1">
      <alignment horizontal="right" vertical="bottom"/>
    </xf>
    <xf borderId="6" fillId="7" fontId="4" numFmtId="167" xfId="0" applyAlignment="1" applyBorder="1" applyFont="1" applyNumberFormat="1">
      <alignment horizontal="right" vertical="bottom"/>
    </xf>
    <xf borderId="11" fillId="0" fontId="5" numFmtId="0" xfId="0" applyAlignment="1" applyBorder="1" applyFont="1">
      <alignment vertical="bottom"/>
    </xf>
    <xf borderId="11" fillId="0" fontId="1" numFmtId="167" xfId="0" applyAlignment="1" applyBorder="1" applyFont="1" applyNumberFormat="1">
      <alignment vertical="bottom"/>
    </xf>
    <xf borderId="25" fillId="0" fontId="1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14" fillId="0" fontId="1" numFmtId="167" xfId="0" applyAlignment="1" applyBorder="1" applyFont="1" applyNumberFormat="1">
      <alignment vertical="bottom"/>
    </xf>
    <xf borderId="29" fillId="0" fontId="1" numFmtId="167" xfId="0" applyAlignment="1" applyBorder="1" applyFont="1" applyNumberFormat="1">
      <alignment vertical="bottom"/>
    </xf>
    <xf borderId="26" fillId="0" fontId="1" numFmtId="0" xfId="0" applyAlignment="1" applyBorder="1" applyFont="1">
      <alignment vertical="bottom"/>
    </xf>
    <xf borderId="19" fillId="0" fontId="1" numFmtId="0" xfId="0" applyAlignment="1" applyBorder="1" applyFont="1">
      <alignment vertical="bottom"/>
    </xf>
    <xf borderId="26" fillId="0" fontId="1" numFmtId="0" xfId="0" applyAlignment="1" applyBorder="1" applyFont="1">
      <alignment vertical="bottom"/>
    </xf>
    <xf borderId="19" fillId="0" fontId="1" numFmtId="0" xfId="0" applyAlignment="1" applyBorder="1" applyFont="1">
      <alignment vertical="bottom"/>
    </xf>
    <xf borderId="19" fillId="0" fontId="1" numFmtId="164" xfId="0" applyAlignment="1" applyBorder="1" applyFont="1" applyNumberFormat="1">
      <alignment vertical="bottom"/>
    </xf>
    <xf borderId="27" fillId="0" fontId="1" numFmtId="0" xfId="0" applyAlignment="1" applyBorder="1" applyFont="1">
      <alignment vertical="bottom"/>
    </xf>
    <xf borderId="30" fillId="0" fontId="1" numFmtId="164" xfId="0" applyAlignment="1" applyBorder="1" applyFont="1" applyNumberFormat="1">
      <alignment vertical="bottom"/>
    </xf>
    <xf borderId="0" fillId="0" fontId="1" numFmtId="174" xfId="0" applyAlignment="1" applyFont="1" applyNumberFormat="1">
      <alignment vertical="bottom"/>
    </xf>
    <xf borderId="15" fillId="0" fontId="5" numFmtId="0" xfId="0" applyAlignment="1" applyBorder="1" applyFont="1">
      <alignment vertical="bottom"/>
    </xf>
    <xf borderId="15" fillId="0" fontId="5" numFmtId="164" xfId="0" applyAlignment="1" applyBorder="1" applyFont="1" applyNumberFormat="1">
      <alignment horizontal="center" vertical="bottom"/>
    </xf>
    <xf borderId="2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1" numFmtId="17" xfId="0" applyAlignment="1" applyFont="1" applyNumberFormat="1">
      <alignment vertical="bottom"/>
    </xf>
    <xf borderId="21" fillId="0" fontId="1" numFmtId="0" xfId="0" applyAlignment="1" applyBorder="1" applyFont="1">
      <alignment vertical="bottom"/>
    </xf>
    <xf borderId="21" fillId="0" fontId="1" numFmtId="175" xfId="0" applyAlignment="1" applyBorder="1" applyFont="1" applyNumberFormat="1">
      <alignment horizontal="center" vertical="bottom"/>
    </xf>
    <xf borderId="0" fillId="0" fontId="1" numFmtId="171" xfId="0" applyAlignment="1" applyFont="1" applyNumberFormat="1">
      <alignment vertical="bottom"/>
    </xf>
    <xf borderId="2" fillId="16" fontId="1" numFmtId="0" xfId="0" applyAlignment="1" applyBorder="1" applyFill="1" applyFont="1">
      <alignment vertical="bottom"/>
    </xf>
    <xf borderId="2" fillId="16" fontId="1" numFmtId="164" xfId="0" applyAlignment="1" applyBorder="1" applyFont="1" applyNumberFormat="1">
      <alignment vertical="bottom"/>
    </xf>
    <xf borderId="28" fillId="16" fontId="1" numFmtId="0" xfId="0" applyAlignment="1" applyBorder="1" applyFont="1">
      <alignment vertical="bottom"/>
    </xf>
    <xf borderId="28" fillId="16" fontId="1" numFmtId="164" xfId="0" applyAlignment="1" applyBorder="1" applyFont="1" applyNumberFormat="1">
      <alignment vertical="bottom"/>
    </xf>
    <xf borderId="15" fillId="0" fontId="1" numFmtId="0" xfId="0" applyAlignment="1" applyBorder="1" applyFont="1">
      <alignment vertical="bottom"/>
    </xf>
    <xf borderId="21" fillId="0" fontId="1" numFmtId="175" xfId="0" applyAlignment="1" applyBorder="1" applyFont="1" applyNumberFormat="1">
      <alignment horizontal="right" vertical="bottom"/>
    </xf>
    <xf borderId="15" fillId="0" fontId="1" numFmtId="164" xfId="0" applyAlignment="1" applyBorder="1" applyFont="1" applyNumberFormat="1">
      <alignment horizontal="right" vertical="bottom"/>
    </xf>
    <xf borderId="0" fillId="0" fontId="25" numFmtId="0" xfId="0" applyAlignment="1" applyFont="1">
      <alignment vertical="bottom"/>
    </xf>
    <xf borderId="0" fillId="0" fontId="1" numFmtId="170" xfId="0" applyAlignment="1" applyFont="1" applyNumberFormat="1">
      <alignment horizontal="right" vertical="bottom"/>
    </xf>
    <xf borderId="0" fillId="0" fontId="15" numFmtId="165" xfId="0" applyFont="1" applyNumberFormat="1"/>
    <xf borderId="0" fillId="0" fontId="13" numFmtId="167" xfId="0" applyFont="1" applyNumberFormat="1"/>
    <xf borderId="23" fillId="0" fontId="15" numFmtId="0" xfId="0" applyBorder="1" applyFont="1"/>
    <xf borderId="21" fillId="0" fontId="13" numFmtId="10" xfId="0" applyBorder="1" applyFont="1" applyNumberFormat="1"/>
    <xf borderId="23" fillId="0" fontId="13" numFmtId="0" xfId="0" applyAlignment="1" applyBorder="1" applyFont="1">
      <alignment readingOrder="0"/>
    </xf>
    <xf borderId="23" fillId="0" fontId="13" numFmtId="0" xfId="0" applyBorder="1" applyFont="1"/>
    <xf borderId="0" fillId="0" fontId="16" numFmtId="167" xfId="0" applyFont="1" applyNumberFormat="1"/>
    <xf borderId="0" fillId="0" fontId="16" numFmtId="166" xfId="0" applyFont="1" applyNumberFormat="1"/>
    <xf borderId="26" fillId="0" fontId="16" numFmtId="167" xfId="0" applyBorder="1" applyFont="1" applyNumberFormat="1"/>
    <xf borderId="19" fillId="0" fontId="16" numFmtId="167" xfId="0" applyBorder="1" applyFont="1" applyNumberFormat="1"/>
    <xf borderId="0" fillId="0" fontId="14" numFmtId="167" xfId="0" applyFont="1" applyNumberFormat="1"/>
    <xf borderId="26" fillId="0" fontId="15" numFmtId="166" xfId="0" applyBorder="1" applyFont="1" applyNumberFormat="1"/>
    <xf borderId="0" fillId="0" fontId="15" numFmtId="166" xfId="0" applyFont="1" applyNumberFormat="1"/>
    <xf borderId="19" fillId="0" fontId="15" numFmtId="166" xfId="0" applyBorder="1" applyFont="1" applyNumberFormat="1"/>
    <xf borderId="0" fillId="0" fontId="15" numFmtId="10" xfId="0" applyFont="1" applyNumberFormat="1"/>
    <xf borderId="27" fillId="0" fontId="23" numFmtId="10" xfId="0" applyBorder="1" applyFont="1" applyNumberFormat="1"/>
    <xf borderId="15" fillId="0" fontId="23" numFmtId="10" xfId="0" applyBorder="1" applyFont="1" applyNumberFormat="1"/>
    <xf borderId="30" fillId="0" fontId="23" numFmtId="10" xfId="0" applyBorder="1" applyFont="1" applyNumberFormat="1"/>
    <xf borderId="0" fillId="0" fontId="14" numFmtId="165" xfId="0" applyFont="1" applyNumberFormat="1"/>
    <xf borderId="0" fillId="0" fontId="14" numFmtId="166" xfId="0" applyFont="1" applyNumberFormat="1"/>
    <xf borderId="0" fillId="0" fontId="15" numFmtId="9" xfId="0" applyAlignment="1" applyFont="1" applyNumberFormat="1">
      <alignment readingOrder="0"/>
    </xf>
    <xf borderId="0" fillId="0" fontId="7" numFmtId="167" xfId="0" applyFont="1" applyNumberFormat="1"/>
    <xf borderId="0" fillId="10" fontId="15" numFmtId="166" xfId="0" applyFont="1" applyNumberFormat="1"/>
    <xf borderId="0" fillId="10" fontId="15" numFmtId="173" xfId="0" applyFont="1" applyNumberFormat="1"/>
    <xf borderId="0" fillId="10" fontId="15" numFmtId="173" xfId="0" applyAlignment="1" applyFont="1" applyNumberFormat="1">
      <alignment horizontal="right" shrinkToFit="0" wrapText="1"/>
    </xf>
    <xf borderId="0" fillId="10" fontId="14" numFmtId="0" xfId="0" applyAlignment="1" applyFont="1">
      <alignment readingOrder="0"/>
    </xf>
    <xf borderId="0" fillId="10" fontId="15" numFmtId="0" xfId="0" applyAlignment="1" applyFont="1">
      <alignment horizontal="right" shrinkToFit="0" wrapText="1"/>
    </xf>
    <xf borderId="0" fillId="10" fontId="14" numFmtId="0" xfId="0" applyFont="1"/>
    <xf borderId="0" fillId="0" fontId="15" numFmtId="0" xfId="0" applyAlignment="1" applyFont="1">
      <alignment shrinkToFit="0" wrapText="1"/>
    </xf>
    <xf borderId="0" fillId="0" fontId="14" numFmtId="9" xfId="0" applyFont="1" applyNumberFormat="1"/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ory Waddoups" id="{9f48a4b4-d83b-43ff-b8fe-3d6aafe9270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0" dT="2026-01-26T20:22:37.00" personId="{9f48a4b4-d83b-43ff-b8fe-3d6aafe9270c}" id="{682df86e-45fa-4a63-81ac-14518c9cd2d6}" done="0">
    <x18tc:text xml:space="preserve">This includes the Acquisition Fee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jeu51bjY9or9l2H3gOzixKHbGzOClRB8/view?usp=sharing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3.xml"/><Relationship Id="rId9" Type="http://schemas.openxmlformats.org/officeDocument/2006/relationships/hyperlink" Target="https://qbo.intuit.com/app/billpayment?txnId=426" TargetMode="External"/><Relationship Id="rId5" Type="http://schemas.openxmlformats.org/officeDocument/2006/relationships/hyperlink" Target="https://drive.google.com/drive/folders/1HWl7T8zOU0mR1krx6UyO7lGEa9Kz9_PC?usp=drive_link" TargetMode="External"/><Relationship Id="rId6" Type="http://schemas.openxmlformats.org/officeDocument/2006/relationships/hyperlink" Target="https://qbo.intuit.com/app/journal?txnId=215" TargetMode="External"/><Relationship Id="rId7" Type="http://schemas.openxmlformats.org/officeDocument/2006/relationships/hyperlink" Target="https://qbo.intuit.com/app/journal?txnId=215" TargetMode="External"/><Relationship Id="rId8" Type="http://schemas.openxmlformats.org/officeDocument/2006/relationships/hyperlink" Target="https://qbo.intuit.com/app/journal?txnId=117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25.38"/>
    <col customWidth="1" min="3" max="4" width="12.5"/>
    <col customWidth="1" min="5" max="5" width="1.88"/>
    <col customWidth="1" min="6" max="6" width="35.63"/>
    <col customWidth="1" min="7" max="7" width="15.5"/>
    <col customWidth="1" min="8" max="8" width="15.25"/>
    <col customWidth="1" min="9" max="9" width="14.5"/>
    <col customWidth="1" min="10" max="10" width="15.25"/>
    <col customWidth="1" min="11" max="12" width="12.5"/>
    <col customWidth="1" min="13" max="13" width="42.25"/>
    <col customWidth="1" min="14" max="14" width="13.75"/>
    <col customWidth="1" min="15" max="26" width="12.5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">
        <v>0</v>
      </c>
      <c r="C2" s="3"/>
      <c r="D2" s="3"/>
      <c r="E2" s="1"/>
      <c r="F2" s="2" t="s">
        <v>1</v>
      </c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5" t="s">
        <v>2</v>
      </c>
      <c r="C4" s="6" t="s">
        <v>3</v>
      </c>
      <c r="D4" s="7"/>
      <c r="E4" s="1"/>
      <c r="F4" s="6" t="s">
        <v>4</v>
      </c>
      <c r="G4" s="8" t="s">
        <v>5</v>
      </c>
      <c r="H4" s="9" t="s">
        <v>6</v>
      </c>
      <c r="I4" s="10" t="s">
        <v>7</v>
      </c>
      <c r="J4" s="11" t="s">
        <v>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4" t="s">
        <v>9</v>
      </c>
      <c r="C5" s="12">
        <f>'Sources and Uses'!D5</f>
        <v>3200000</v>
      </c>
      <c r="D5" s="13"/>
      <c r="E5" s="1"/>
      <c r="F5" s="14" t="s">
        <v>10</v>
      </c>
      <c r="G5" s="15">
        <f t="shared" ref="G5:H5" si="1">H5</f>
        <v>1200000</v>
      </c>
      <c r="H5" s="16">
        <f t="shared" si="1"/>
        <v>1200000</v>
      </c>
      <c r="I5" s="17">
        <f>Proforma!I5</f>
        <v>1200000</v>
      </c>
      <c r="J5" s="18">
        <f>I5</f>
        <v>1200000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4" t="str">
        <f>'Sources and Uses'!B9</f>
        <v>Total Debt</v>
      </c>
      <c r="C6" s="12">
        <f>'Sources and Uses'!D9</f>
        <v>2310000</v>
      </c>
      <c r="D6" s="13"/>
      <c r="E6" s="1"/>
      <c r="F6" s="4" t="s">
        <v>11</v>
      </c>
      <c r="G6" s="19">
        <f t="shared" ref="G6:H6" si="2">H6*1.05</f>
        <v>-198450</v>
      </c>
      <c r="H6" s="19">
        <f t="shared" si="2"/>
        <v>-189000</v>
      </c>
      <c r="I6" s="20">
        <f>Proforma!I6</f>
        <v>-180000</v>
      </c>
      <c r="J6" s="19">
        <f>-J5*0.1</f>
        <v>-120000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4" t="s">
        <v>12</v>
      </c>
      <c r="C7" s="12">
        <f>'Sources and Uses'!D23</f>
        <v>217750</v>
      </c>
      <c r="D7" s="13"/>
      <c r="E7" s="1"/>
      <c r="F7" s="4" t="s">
        <v>13</v>
      </c>
      <c r="G7" s="21"/>
      <c r="H7" s="21"/>
      <c r="I7" s="22"/>
      <c r="J7" s="2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4" t="s">
        <v>14</v>
      </c>
      <c r="C8" s="12">
        <f>'Sources and Uses'!G20</f>
        <v>1240000</v>
      </c>
      <c r="D8" s="13"/>
      <c r="E8" s="1"/>
      <c r="F8" s="4" t="s">
        <v>15</v>
      </c>
      <c r="G8" s="19">
        <f t="shared" ref="G8:H8" si="3">G7+G6+G5</f>
        <v>1001550</v>
      </c>
      <c r="H8" s="19">
        <f t="shared" si="3"/>
        <v>1011000</v>
      </c>
      <c r="I8" s="20">
        <f>Proforma!I12</f>
        <v>1032500</v>
      </c>
      <c r="J8" s="23">
        <f>J7+J6+J5</f>
        <v>1080000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4" t="s">
        <v>16</v>
      </c>
      <c r="C9" s="12">
        <f>'Sources and Uses'!G19</f>
        <v>132250</v>
      </c>
      <c r="D9" s="13"/>
      <c r="E9" s="1"/>
      <c r="F9" s="4" t="s">
        <v>17</v>
      </c>
      <c r="G9" s="19">
        <f t="shared" ref="G9:H9" si="4">H9</f>
        <v>666645.79</v>
      </c>
      <c r="H9" s="19">
        <f t="shared" si="4"/>
        <v>666645.79</v>
      </c>
      <c r="I9" s="20">
        <f>Proforma!I46</f>
        <v>666645.79</v>
      </c>
      <c r="J9" s="23">
        <f>I9*0.9</f>
        <v>599981.211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4" t="s">
        <v>18</v>
      </c>
      <c r="C10" s="25">
        <f>C5+C7+C9</f>
        <v>3550000</v>
      </c>
      <c r="D10" s="26"/>
      <c r="E10" s="1"/>
      <c r="F10" s="4" t="s">
        <v>19</v>
      </c>
      <c r="G10" s="19">
        <f t="shared" ref="G10:H10" si="5">H10</f>
        <v>10325</v>
      </c>
      <c r="H10" s="19">
        <f t="shared" si="5"/>
        <v>10325</v>
      </c>
      <c r="I10" s="20">
        <f>Proforma!I54</f>
        <v>10325</v>
      </c>
      <c r="J10" s="23">
        <f t="shared" ref="J10:J12" si="7">I10</f>
        <v>10325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4" t="s">
        <v>20</v>
      </c>
      <c r="G11" s="19">
        <f t="shared" ref="G11:H11" si="6">H11</f>
        <v>10325</v>
      </c>
      <c r="H11" s="19">
        <f t="shared" si="6"/>
        <v>10325</v>
      </c>
      <c r="I11" s="20">
        <f>Proforma!I53</f>
        <v>10325</v>
      </c>
      <c r="J11" s="23">
        <f t="shared" si="7"/>
        <v>10325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5" t="s">
        <v>21</v>
      </c>
      <c r="C12" s="6" t="s">
        <v>22</v>
      </c>
      <c r="D12" s="6" t="s">
        <v>23</v>
      </c>
      <c r="E12" s="1"/>
      <c r="F12" s="4" t="s">
        <v>24</v>
      </c>
      <c r="G12" s="19">
        <f t="shared" ref="G12:H12" si="8">H12</f>
        <v>51625</v>
      </c>
      <c r="H12" s="19">
        <f t="shared" si="8"/>
        <v>51625</v>
      </c>
      <c r="I12" s="20">
        <f>Proforma!I51</f>
        <v>51625</v>
      </c>
      <c r="J12" s="23">
        <f t="shared" si="7"/>
        <v>51625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4" t="s">
        <v>25</v>
      </c>
      <c r="C13" s="23">
        <f>C8</f>
        <v>1240000</v>
      </c>
      <c r="D13" s="27">
        <f>C13/C15</f>
        <v>0.3492957746</v>
      </c>
      <c r="E13" s="1"/>
      <c r="F13" s="28" t="s">
        <v>26</v>
      </c>
      <c r="G13" s="29">
        <f t="shared" ref="G13:J13" si="9">G8-G9-G10-G11-G12</f>
        <v>262629.21</v>
      </c>
      <c r="H13" s="30">
        <f t="shared" si="9"/>
        <v>272079.21</v>
      </c>
      <c r="I13" s="31">
        <f t="shared" si="9"/>
        <v>293579.21</v>
      </c>
      <c r="J13" s="23">
        <f t="shared" si="9"/>
        <v>407743.789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4" t="s">
        <v>27</v>
      </c>
      <c r="C14" s="23">
        <f>C6</f>
        <v>2310000</v>
      </c>
      <c r="D14" s="27">
        <f>C14/C15</f>
        <v>0.6507042254</v>
      </c>
      <c r="E14" s="1"/>
      <c r="F14" s="4"/>
      <c r="G14" s="32"/>
      <c r="H14" s="32"/>
      <c r="I14" s="33"/>
      <c r="J14" s="3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34" t="s">
        <v>28</v>
      </c>
      <c r="C15" s="35">
        <f>C14+C13</f>
        <v>3550000</v>
      </c>
      <c r="D15" s="36">
        <f>SUM(D13:D14)</f>
        <v>1</v>
      </c>
      <c r="E15" s="1"/>
      <c r="F15" s="37" t="s">
        <v>29</v>
      </c>
      <c r="G15" s="38">
        <f>'Sources and Uses'!$J$9</f>
        <v>197691.0709</v>
      </c>
      <c r="H15" s="39">
        <f>'Sources and Uses'!$J$9</f>
        <v>197691.0709</v>
      </c>
      <c r="I15" s="40">
        <f>'Sources and Uses'!$J$9</f>
        <v>197691.0709</v>
      </c>
      <c r="J15" s="41">
        <f>'Sources and Uses'!$J$9</f>
        <v>197691.0709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42" t="s">
        <v>30</v>
      </c>
      <c r="G16" s="43">
        <f t="shared" ref="G16:J16" si="10">G13-G15</f>
        <v>64938.13911</v>
      </c>
      <c r="H16" s="43">
        <f t="shared" si="10"/>
        <v>74388.13911</v>
      </c>
      <c r="I16" s="44">
        <f t="shared" si="10"/>
        <v>95888.13911</v>
      </c>
      <c r="J16" s="43">
        <f t="shared" si="10"/>
        <v>210052.7181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45" t="s">
        <v>21</v>
      </c>
      <c r="C17" s="46"/>
      <c r="D17" s="47" t="s">
        <v>23</v>
      </c>
      <c r="E17" s="1"/>
      <c r="F17" s="28" t="s">
        <v>31</v>
      </c>
      <c r="G17" s="29">
        <f t="shared" ref="G17:H17" si="11">H17</f>
        <v>99200</v>
      </c>
      <c r="H17" s="29">
        <f t="shared" si="11"/>
        <v>99200</v>
      </c>
      <c r="I17" s="31">
        <f>D18*'Sources and Uses'!D13</f>
        <v>99200</v>
      </c>
      <c r="J17" s="29">
        <f>I17</f>
        <v>99200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 t="s">
        <v>31</v>
      </c>
      <c r="C18" s="21"/>
      <c r="D18" s="48">
        <v>0.08</v>
      </c>
      <c r="E18" s="1"/>
      <c r="F18" s="28" t="s">
        <v>32</v>
      </c>
      <c r="G18" s="29" t="str">
        <f t="shared" ref="G18:J18" si="12">if((G16-G17)&gt;0,G16-G17,"") </f>
        <v/>
      </c>
      <c r="H18" s="30" t="str">
        <f t="shared" si="12"/>
        <v/>
      </c>
      <c r="I18" s="31" t="str">
        <f t="shared" si="12"/>
        <v/>
      </c>
      <c r="J18" s="29">
        <f t="shared" si="12"/>
        <v>110852.7181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49" t="s">
        <v>33</v>
      </c>
      <c r="C19" s="50" t="str">
        <f>C11</f>
        <v/>
      </c>
      <c r="D19" s="51">
        <v>0.5</v>
      </c>
      <c r="E19" s="1"/>
      <c r="F19" s="28" t="s">
        <v>34</v>
      </c>
      <c r="G19" s="29">
        <f t="shared" ref="G19:J19" si="13">G18/2</f>
        <v>0</v>
      </c>
      <c r="H19" s="30">
        <f t="shared" si="13"/>
        <v>0</v>
      </c>
      <c r="I19" s="31">
        <f t="shared" si="13"/>
        <v>0</v>
      </c>
      <c r="J19" s="29">
        <f t="shared" si="13"/>
        <v>55426.35905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4" t="s">
        <v>35</v>
      </c>
      <c r="G20" s="29">
        <f t="shared" ref="G20:J20" si="14">G19</f>
        <v>0</v>
      </c>
      <c r="H20" s="30">
        <f t="shared" si="14"/>
        <v>0</v>
      </c>
      <c r="I20" s="31">
        <f t="shared" si="14"/>
        <v>0</v>
      </c>
      <c r="J20" s="29">
        <f t="shared" si="14"/>
        <v>55426.35905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4"/>
      <c r="D21" s="1"/>
      <c r="E21" s="1"/>
      <c r="F21" s="28" t="s">
        <v>36</v>
      </c>
      <c r="G21" s="29">
        <f t="shared" ref="G21:J21" si="15">if((G16-G17)&gt;0,G19+G17,G16)</f>
        <v>64938.13911</v>
      </c>
      <c r="H21" s="30">
        <f t="shared" si="15"/>
        <v>74388.13911</v>
      </c>
      <c r="I21" s="31">
        <f t="shared" si="15"/>
        <v>95888.13911</v>
      </c>
      <c r="J21" s="29">
        <f t="shared" si="15"/>
        <v>154626.3591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52"/>
      <c r="D22" s="52"/>
      <c r="E22" s="1"/>
      <c r="F22" s="53" t="s">
        <v>37</v>
      </c>
      <c r="G22" s="54">
        <f>G21/'Sources and Uses'!$D$13</f>
        <v>0.05236946702</v>
      </c>
      <c r="H22" s="54">
        <f>H21/'Sources and Uses'!$D$13</f>
        <v>0.05999043477</v>
      </c>
      <c r="I22" s="55">
        <f>I21/'Sources and Uses'!$D$13</f>
        <v>0.07732914444</v>
      </c>
      <c r="J22" s="56">
        <f>J21/'Sources and Uses'!$D$13</f>
        <v>0.1246986767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52"/>
      <c r="D23" s="52"/>
      <c r="E23" s="1"/>
      <c r="F23" s="57" t="s">
        <v>38</v>
      </c>
      <c r="G23" s="54">
        <f t="shared" ref="G23:H23" si="16">H23</f>
        <v>0.02806372249</v>
      </c>
      <c r="H23" s="54">
        <f t="shared" si="16"/>
        <v>0.02806372249</v>
      </c>
      <c r="I23" s="55">
        <f>-'Sources and Uses'!M8/'Sources and Uses'!D13</f>
        <v>0.02806372249</v>
      </c>
      <c r="J23" s="58">
        <f>I23</f>
        <v>0.02806372249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59" t="s">
        <v>39</v>
      </c>
      <c r="G24" s="54">
        <f t="shared" ref="G24:J24" si="17">G23+G22</f>
        <v>0.08043318952</v>
      </c>
      <c r="H24" s="54">
        <f t="shared" si="17"/>
        <v>0.08805415726</v>
      </c>
      <c r="I24" s="60">
        <f t="shared" si="17"/>
        <v>0.1053928669</v>
      </c>
      <c r="J24" s="56">
        <f t="shared" si="17"/>
        <v>0.1527623992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21"/>
      <c r="D25" s="1"/>
      <c r="E25" s="1"/>
      <c r="F25" s="4"/>
      <c r="G25" s="61"/>
      <c r="H25" s="61"/>
      <c r="I25" s="61"/>
      <c r="J25" s="6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4"/>
      <c r="C29" s="6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4"/>
      <c r="C30" s="62"/>
      <c r="D30" s="1"/>
      <c r="E30" s="1"/>
      <c r="F30" s="63"/>
      <c r="G30" s="21"/>
      <c r="H30" s="1"/>
      <c r="I30" s="1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4"/>
      <c r="C31" s="62"/>
      <c r="D31" s="1"/>
      <c r="E31" s="1"/>
      <c r="F31" s="63"/>
      <c r="G31" s="21"/>
      <c r="H31" s="1"/>
      <c r="I31" s="1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4"/>
      <c r="C32" s="62"/>
      <c r="D32" s="1"/>
      <c r="E32" s="1"/>
      <c r="F32" s="63"/>
      <c r="G32" s="2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62"/>
      <c r="D33" s="1"/>
      <c r="E33" s="1"/>
      <c r="F33" s="63"/>
      <c r="G33" s="2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63"/>
      <c r="G34" s="2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63"/>
      <c r="G35" s="2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63"/>
      <c r="G36" s="2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63"/>
      <c r="G37" s="2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63"/>
      <c r="G38" s="2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63"/>
      <c r="G39" s="2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63"/>
      <c r="G40" s="2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63"/>
      <c r="G41" s="2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4"/>
      <c r="F42" s="63"/>
      <c r="G42" s="2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63"/>
      <c r="G43" s="2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63"/>
      <c r="G44" s="2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63"/>
      <c r="G45" s="2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63"/>
      <c r="G46" s="2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63"/>
      <c r="G47" s="2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63"/>
      <c r="G48" s="2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63"/>
      <c r="G49" s="2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63"/>
      <c r="G50" s="2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63"/>
      <c r="G51" s="2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63"/>
      <c r="G52" s="2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63"/>
      <c r="G53" s="2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4"/>
      <c r="F54" s="63"/>
      <c r="G54" s="2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63"/>
      <c r="G55" s="2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63"/>
      <c r="G56" s="2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63"/>
      <c r="G57" s="2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63"/>
      <c r="G58" s="2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63"/>
      <c r="G59" s="2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63"/>
      <c r="G60" s="2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63"/>
      <c r="G61" s="2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63"/>
      <c r="G62" s="2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63"/>
      <c r="G63" s="2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63"/>
      <c r="G64" s="2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63"/>
      <c r="G65" s="2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4"/>
      <c r="F66" s="63"/>
      <c r="G66" s="2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63"/>
      <c r="G67" s="2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63"/>
      <c r="G68" s="2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63"/>
      <c r="G69" s="2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63"/>
      <c r="G70" s="2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63"/>
      <c r="G71" s="2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63"/>
      <c r="G72" s="2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63"/>
      <c r="G73" s="2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63"/>
      <c r="G74" s="2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63"/>
      <c r="G75" s="2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63"/>
      <c r="G76" s="2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63"/>
      <c r="G77" s="2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4"/>
      <c r="F78" s="63"/>
      <c r="G78" s="2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63"/>
      <c r="G79" s="2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6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6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4"/>
      <c r="G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4"/>
      <c r="G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4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4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25.38"/>
    <col customWidth="1" min="3" max="4" width="12.5"/>
    <col customWidth="1" min="5" max="5" width="1.88"/>
    <col customWidth="1" min="6" max="6" width="35.63"/>
    <col customWidth="1" min="7" max="7" width="15.5"/>
    <col customWidth="1" min="8" max="8" width="15.25"/>
    <col customWidth="1" min="9" max="9" width="14.5"/>
    <col customWidth="1" min="10" max="10" width="15.25"/>
    <col customWidth="1" min="11" max="12" width="12.5"/>
    <col customWidth="1" min="13" max="13" width="42.25"/>
    <col customWidth="1" min="14" max="14" width="13.75"/>
    <col customWidth="1" min="15" max="26" width="12.5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">
        <v>0</v>
      </c>
      <c r="C2" s="3"/>
      <c r="D2" s="3"/>
      <c r="E2" s="1"/>
      <c r="F2" s="2" t="s">
        <v>1</v>
      </c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5" t="s">
        <v>2</v>
      </c>
      <c r="C4" s="6" t="s">
        <v>3</v>
      </c>
      <c r="D4" s="7"/>
      <c r="E4" s="1"/>
      <c r="F4" s="6" t="s">
        <v>4</v>
      </c>
      <c r="G4" s="8" t="s">
        <v>5</v>
      </c>
      <c r="H4" s="9" t="s">
        <v>6</v>
      </c>
      <c r="I4" s="10" t="s">
        <v>7</v>
      </c>
      <c r="J4" s="11" t="s">
        <v>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4" t="s">
        <v>9</v>
      </c>
      <c r="C5" s="12">
        <f>'Sources and Uses'!D5</f>
        <v>3200000</v>
      </c>
      <c r="D5" s="13"/>
      <c r="E5" s="1"/>
      <c r="F5" s="14" t="s">
        <v>10</v>
      </c>
      <c r="G5" s="15">
        <f t="shared" ref="G5:H5" si="1">H5</f>
        <v>1200000</v>
      </c>
      <c r="H5" s="16">
        <f t="shared" si="1"/>
        <v>1200000</v>
      </c>
      <c r="I5" s="17">
        <f>Proforma!I5</f>
        <v>1200000</v>
      </c>
      <c r="J5" s="18">
        <f>I5</f>
        <v>1200000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4" t="str">
        <f>'Sources and Uses'!B9</f>
        <v>Total Debt</v>
      </c>
      <c r="C6" s="12">
        <f>'Sources and Uses'!D9</f>
        <v>2310000</v>
      </c>
      <c r="D6" s="13"/>
      <c r="E6" s="1"/>
      <c r="F6" s="4" t="s">
        <v>11</v>
      </c>
      <c r="G6" s="19">
        <f t="shared" ref="G6:H6" si="2">H6*1.05</f>
        <v>-198450</v>
      </c>
      <c r="H6" s="19">
        <f t="shared" si="2"/>
        <v>-189000</v>
      </c>
      <c r="I6" s="20">
        <f>Proforma!I6</f>
        <v>-180000</v>
      </c>
      <c r="J6" s="19">
        <f>-J5*0.1</f>
        <v>-120000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4" t="s">
        <v>12</v>
      </c>
      <c r="C7" s="12">
        <f>'Sources and Uses'!D23</f>
        <v>217750</v>
      </c>
      <c r="D7" s="13"/>
      <c r="E7" s="1"/>
      <c r="F7" s="4" t="s">
        <v>13</v>
      </c>
      <c r="G7" s="21"/>
      <c r="H7" s="21"/>
      <c r="I7" s="22"/>
      <c r="J7" s="2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4" t="s">
        <v>14</v>
      </c>
      <c r="C8" s="12">
        <f>'Sources and Uses'!G20</f>
        <v>1240000</v>
      </c>
      <c r="D8" s="13"/>
      <c r="E8" s="1"/>
      <c r="F8" s="4" t="s">
        <v>15</v>
      </c>
      <c r="G8" s="19">
        <f t="shared" ref="G8:H8" si="3">G7+G6+G5</f>
        <v>1001550</v>
      </c>
      <c r="H8" s="19">
        <f t="shared" si="3"/>
        <v>1011000</v>
      </c>
      <c r="I8" s="20">
        <f>Proforma!I12</f>
        <v>1032500</v>
      </c>
      <c r="J8" s="23">
        <f>J7+J6+J5</f>
        <v>1080000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4" t="s">
        <v>16</v>
      </c>
      <c r="C9" s="12">
        <f>'Sources and Uses'!G19</f>
        <v>132250</v>
      </c>
      <c r="D9" s="13"/>
      <c r="E9" s="1"/>
      <c r="F9" s="4" t="s">
        <v>17</v>
      </c>
      <c r="G9" s="19">
        <f t="shared" ref="G9:H9" si="4">H9</f>
        <v>666645.79</v>
      </c>
      <c r="H9" s="19">
        <f t="shared" si="4"/>
        <v>666645.79</v>
      </c>
      <c r="I9" s="20">
        <f>Proforma!I46</f>
        <v>666645.79</v>
      </c>
      <c r="J9" s="23">
        <f>I9*0.9</f>
        <v>599981.211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4" t="s">
        <v>18</v>
      </c>
      <c r="C10" s="25">
        <f>C5+C7+C9</f>
        <v>3550000</v>
      </c>
      <c r="D10" s="26"/>
      <c r="E10" s="1"/>
      <c r="F10" s="4" t="s">
        <v>19</v>
      </c>
      <c r="G10" s="19">
        <f t="shared" ref="G10:H10" si="5">H10</f>
        <v>10325</v>
      </c>
      <c r="H10" s="19">
        <f t="shared" si="5"/>
        <v>10325</v>
      </c>
      <c r="I10" s="20">
        <f>Proforma!I54</f>
        <v>10325</v>
      </c>
      <c r="J10" s="23">
        <f t="shared" ref="J10:J12" si="7">I10</f>
        <v>10325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4" t="s">
        <v>20</v>
      </c>
      <c r="G11" s="19">
        <f t="shared" ref="G11:H11" si="6">H11</f>
        <v>10325</v>
      </c>
      <c r="H11" s="19">
        <f t="shared" si="6"/>
        <v>10325</v>
      </c>
      <c r="I11" s="20">
        <f>Proforma!I53</f>
        <v>10325</v>
      </c>
      <c r="J11" s="23">
        <f t="shared" si="7"/>
        <v>10325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5" t="s">
        <v>21</v>
      </c>
      <c r="C12" s="6" t="s">
        <v>22</v>
      </c>
      <c r="D12" s="6" t="s">
        <v>23</v>
      </c>
      <c r="E12" s="1"/>
      <c r="F12" s="4" t="s">
        <v>24</v>
      </c>
      <c r="G12" s="19">
        <f t="shared" ref="G12:H12" si="8">H12</f>
        <v>51625</v>
      </c>
      <c r="H12" s="19">
        <f t="shared" si="8"/>
        <v>51625</v>
      </c>
      <c r="I12" s="20">
        <f>Proforma!I51</f>
        <v>51625</v>
      </c>
      <c r="J12" s="23">
        <f t="shared" si="7"/>
        <v>51625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4" t="s">
        <v>25</v>
      </c>
      <c r="C13" s="23">
        <f>C8</f>
        <v>1240000</v>
      </c>
      <c r="D13" s="27">
        <f>C13/C15</f>
        <v>0.3492957746</v>
      </c>
      <c r="E13" s="1"/>
      <c r="F13" s="28" t="s">
        <v>26</v>
      </c>
      <c r="G13" s="29">
        <f t="shared" ref="G13:J13" si="9">G8-G9-G10-G11-G12</f>
        <v>262629.21</v>
      </c>
      <c r="H13" s="30">
        <f t="shared" si="9"/>
        <v>272079.21</v>
      </c>
      <c r="I13" s="31">
        <f t="shared" si="9"/>
        <v>293579.21</v>
      </c>
      <c r="J13" s="23">
        <f t="shared" si="9"/>
        <v>407743.789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4" t="s">
        <v>27</v>
      </c>
      <c r="C14" s="23">
        <f>C6</f>
        <v>2310000</v>
      </c>
      <c r="D14" s="27">
        <f>C14/C15</f>
        <v>0.6507042254</v>
      </c>
      <c r="E14" s="1"/>
      <c r="F14" s="4"/>
      <c r="G14" s="32"/>
      <c r="H14" s="32"/>
      <c r="I14" s="33"/>
      <c r="J14" s="3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34" t="s">
        <v>28</v>
      </c>
      <c r="C15" s="35">
        <f>C14+C13</f>
        <v>3550000</v>
      </c>
      <c r="D15" s="36">
        <f>SUM(D13:D14)</f>
        <v>1</v>
      </c>
      <c r="E15" s="1"/>
      <c r="F15" s="37" t="s">
        <v>29</v>
      </c>
      <c r="G15" s="38">
        <f>'Sources and Uses'!$J$9</f>
        <v>197691.0709</v>
      </c>
      <c r="H15" s="39">
        <f>'Sources and Uses'!$J$9</f>
        <v>197691.0709</v>
      </c>
      <c r="I15" s="40">
        <f>'Sources and Uses'!$J$9</f>
        <v>197691.0709</v>
      </c>
      <c r="J15" s="41">
        <f>'Sources and Uses'!$J$9</f>
        <v>197691.0709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42" t="s">
        <v>30</v>
      </c>
      <c r="G16" s="43">
        <f t="shared" ref="G16:J16" si="10">G13-G15</f>
        <v>64938.13911</v>
      </c>
      <c r="H16" s="43">
        <f t="shared" si="10"/>
        <v>74388.13911</v>
      </c>
      <c r="I16" s="44">
        <f t="shared" si="10"/>
        <v>95888.13911</v>
      </c>
      <c r="J16" s="43">
        <f t="shared" si="10"/>
        <v>210052.7181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45" t="s">
        <v>21</v>
      </c>
      <c r="C17" s="46"/>
      <c r="D17" s="47" t="s">
        <v>23</v>
      </c>
      <c r="E17" s="1"/>
      <c r="F17" s="28" t="s">
        <v>31</v>
      </c>
      <c r="G17" s="29">
        <f t="shared" ref="G17:H17" si="11">H17</f>
        <v>99200</v>
      </c>
      <c r="H17" s="29">
        <f t="shared" si="11"/>
        <v>99200</v>
      </c>
      <c r="I17" s="31">
        <f>D18*'Sources and Uses'!D13</f>
        <v>99200</v>
      </c>
      <c r="J17" s="29">
        <f>I17</f>
        <v>99200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 t="s">
        <v>31</v>
      </c>
      <c r="C18" s="21"/>
      <c r="D18" s="48">
        <v>0.08</v>
      </c>
      <c r="E18" s="1"/>
      <c r="F18" s="28" t="s">
        <v>32</v>
      </c>
      <c r="G18" s="29" t="str">
        <f t="shared" ref="G18:J18" si="12">if((G16-G17)&gt;0,G16-G17,"") </f>
        <v/>
      </c>
      <c r="H18" s="30" t="str">
        <f t="shared" si="12"/>
        <v/>
      </c>
      <c r="I18" s="31" t="str">
        <f t="shared" si="12"/>
        <v/>
      </c>
      <c r="J18" s="29">
        <f t="shared" si="12"/>
        <v>110852.7181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49" t="s">
        <v>33</v>
      </c>
      <c r="C19" s="50" t="str">
        <f>C11</f>
        <v/>
      </c>
      <c r="D19" s="51">
        <v>0.5</v>
      </c>
      <c r="E19" s="1"/>
      <c r="F19" s="28" t="s">
        <v>34</v>
      </c>
      <c r="G19" s="29">
        <f t="shared" ref="G19:J19" si="13">G18/2</f>
        <v>0</v>
      </c>
      <c r="H19" s="30">
        <f t="shared" si="13"/>
        <v>0</v>
      </c>
      <c r="I19" s="31">
        <f t="shared" si="13"/>
        <v>0</v>
      </c>
      <c r="J19" s="29">
        <f t="shared" si="13"/>
        <v>55426.35905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4" t="s">
        <v>35</v>
      </c>
      <c r="G20" s="29">
        <f t="shared" ref="G20:J20" si="14">G19</f>
        <v>0</v>
      </c>
      <c r="H20" s="30">
        <f t="shared" si="14"/>
        <v>0</v>
      </c>
      <c r="I20" s="31">
        <f t="shared" si="14"/>
        <v>0</v>
      </c>
      <c r="J20" s="29">
        <f t="shared" si="14"/>
        <v>55426.35905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4"/>
      <c r="D21" s="1"/>
      <c r="E21" s="1"/>
      <c r="F21" s="28" t="s">
        <v>36</v>
      </c>
      <c r="G21" s="29">
        <f t="shared" ref="G21:J21" si="15">if((G16-G17)&gt;0,G19+G17,G16)</f>
        <v>64938.13911</v>
      </c>
      <c r="H21" s="30">
        <f t="shared" si="15"/>
        <v>74388.13911</v>
      </c>
      <c r="I21" s="31">
        <f t="shared" si="15"/>
        <v>95888.13911</v>
      </c>
      <c r="J21" s="29">
        <f t="shared" si="15"/>
        <v>154626.3591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52"/>
      <c r="D22" s="52"/>
      <c r="E22" s="1"/>
      <c r="F22" s="53" t="s">
        <v>37</v>
      </c>
      <c r="G22" s="54">
        <f>G21/'Sources and Uses'!$D$13</f>
        <v>0.05236946702</v>
      </c>
      <c r="H22" s="54">
        <f>H21/'Sources and Uses'!$D$13</f>
        <v>0.05999043477</v>
      </c>
      <c r="I22" s="55">
        <f>I21/'Sources and Uses'!$D$13</f>
        <v>0.07732914444</v>
      </c>
      <c r="J22" s="56">
        <f>J21/'Sources and Uses'!$D$13</f>
        <v>0.1246986767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52"/>
      <c r="D23" s="52"/>
      <c r="E23" s="1"/>
      <c r="F23" s="57" t="s">
        <v>38</v>
      </c>
      <c r="G23" s="54">
        <f t="shared" ref="G23:H23" si="16">H23</f>
        <v>0.02806372249</v>
      </c>
      <c r="H23" s="54">
        <f t="shared" si="16"/>
        <v>0.02806372249</v>
      </c>
      <c r="I23" s="55">
        <f>-'Sources and Uses'!M8/'Sources and Uses'!D13</f>
        <v>0.02806372249</v>
      </c>
      <c r="J23" s="58">
        <f>I23</f>
        <v>0.02806372249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59" t="s">
        <v>39</v>
      </c>
      <c r="G24" s="54">
        <f t="shared" ref="G24:J24" si="17">G23+G22</f>
        <v>0.08043318952</v>
      </c>
      <c r="H24" s="54">
        <f t="shared" si="17"/>
        <v>0.08805415726</v>
      </c>
      <c r="I24" s="60">
        <f t="shared" si="17"/>
        <v>0.1053928669</v>
      </c>
      <c r="J24" s="56">
        <f t="shared" si="17"/>
        <v>0.1527623992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21"/>
      <c r="D25" s="1"/>
      <c r="E25" s="1"/>
      <c r="F25" s="4"/>
      <c r="G25" s="61"/>
      <c r="H25" s="61"/>
      <c r="I25" s="61"/>
      <c r="J25" s="6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53" t="s">
        <v>40</v>
      </c>
      <c r="G26" s="54"/>
      <c r="H26" s="54"/>
      <c r="I26" s="55">
        <f>Proforma!J64/'Sources and Uses'!$D$13</f>
        <v>0.0834825667</v>
      </c>
      <c r="J26" s="5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53" t="s">
        <v>41</v>
      </c>
      <c r="G27" s="54"/>
      <c r="H27" s="54"/>
      <c r="I27" s="55">
        <f>-'Sources and Uses'!N8/'Sources and Uses'!$D$13</f>
        <v>0.03012238283</v>
      </c>
      <c r="J27" s="5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4"/>
      <c r="C28" s="1"/>
      <c r="D28" s="1"/>
      <c r="E28" s="1"/>
      <c r="F28" s="53" t="s">
        <v>42</v>
      </c>
      <c r="G28" s="54"/>
      <c r="H28" s="54"/>
      <c r="I28" s="60">
        <f>I27+I26</f>
        <v>0.1136049495</v>
      </c>
      <c r="J28" s="5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4"/>
      <c r="C29" s="6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4"/>
      <c r="C30" s="62"/>
      <c r="D30" s="1"/>
      <c r="E30" s="1"/>
      <c r="F30" s="53" t="s">
        <v>43</v>
      </c>
      <c r="G30" s="54"/>
      <c r="H30" s="54"/>
      <c r="I30" s="55">
        <f>Proforma!K64/'Sources and Uses'!$D$13</f>
        <v>0.08857945585</v>
      </c>
      <c r="J30" s="5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4"/>
      <c r="C31" s="62"/>
      <c r="D31" s="1"/>
      <c r="E31" s="1"/>
      <c r="F31" s="53" t="s">
        <v>44</v>
      </c>
      <c r="G31" s="54"/>
      <c r="H31" s="54"/>
      <c r="I31" s="55">
        <f>-'Sources and Uses'!O8/'Sources and Uses'!$D$13</f>
        <v>0.03233205956</v>
      </c>
      <c r="J31" s="5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4"/>
      <c r="C32" s="62"/>
      <c r="D32" s="1"/>
      <c r="E32" s="1"/>
      <c r="F32" s="53" t="s">
        <v>45</v>
      </c>
      <c r="G32" s="54"/>
      <c r="H32" s="54"/>
      <c r="I32" s="60">
        <f>I31+I30</f>
        <v>0.1209115154</v>
      </c>
      <c r="J32" s="5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62"/>
      <c r="D33" s="1"/>
      <c r="E33" s="1"/>
      <c r="F33" s="63"/>
      <c r="G33" s="2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53" t="s">
        <v>46</v>
      </c>
      <c r="G34" s="54"/>
      <c r="H34" s="54"/>
      <c r="I34" s="55">
        <f>Proforma!L64/'Sources and Uses'!$D$13</f>
        <v>0.09399047748</v>
      </c>
      <c r="J34" s="5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53" t="s">
        <v>47</v>
      </c>
      <c r="G35" s="54"/>
      <c r="H35" s="54"/>
      <c r="I35" s="55">
        <f>-'Sources and Uses'!P8/'Sources and Uses'!$D$13</f>
        <v>0.03470383076</v>
      </c>
      <c r="J35" s="5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53" t="s">
        <v>48</v>
      </c>
      <c r="G36" s="54"/>
      <c r="H36" s="54"/>
      <c r="I36" s="60">
        <f>I35+I34</f>
        <v>0.1286943082</v>
      </c>
      <c r="J36" s="5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63"/>
      <c r="G37" s="2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53" t="s">
        <v>49</v>
      </c>
      <c r="G38" s="54"/>
      <c r="H38" s="54"/>
      <c r="I38" s="55">
        <f>Proforma!M64/'Sources and Uses'!$D$13</f>
        <v>0.09975730072</v>
      </c>
      <c r="J38" s="5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53" t="s">
        <v>50</v>
      </c>
      <c r="G39" s="54"/>
      <c r="H39" s="54"/>
      <c r="I39" s="55">
        <f>-'Sources and Uses'!Q8/'Sources and Uses'!$D$13</f>
        <v>0.03724958711</v>
      </c>
      <c r="J39" s="5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53" t="s">
        <v>51</v>
      </c>
      <c r="G40" s="54"/>
      <c r="H40" s="54"/>
      <c r="I40" s="60">
        <f>I39+I38</f>
        <v>0.1370068878</v>
      </c>
      <c r="J40" s="5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63"/>
      <c r="G41" s="21"/>
      <c r="H41" s="1"/>
      <c r="I41" s="1"/>
      <c r="J41" s="1"/>
      <c r="K41" s="64" t="s">
        <v>52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4"/>
      <c r="F42" s="53" t="s">
        <v>53</v>
      </c>
      <c r="G42" s="54"/>
      <c r="H42" s="54"/>
      <c r="I42" s="55">
        <f>SUM(I21,Proforma!J64,Proforma!K64,Proforma!L64,Proforma!M64)/'Sources and Uses'!D13</f>
        <v>0.4431389452</v>
      </c>
      <c r="J42" s="56"/>
      <c r="K42" s="52">
        <f t="shared" ref="K42:K44" si="18">I42/5</f>
        <v>0.08862778904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53" t="s">
        <v>54</v>
      </c>
      <c r="G43" s="54"/>
      <c r="H43" s="54"/>
      <c r="I43" s="55">
        <f>-SUM('Sources and Uses'!M8,'Sources and Uses'!N8,'Sources and Uses'!O8,'Sources and Uses'!P8,'Sources and Uses'!Q8)/'Sources and Uses'!D13</f>
        <v>0.1624715828</v>
      </c>
      <c r="J43" s="58"/>
      <c r="K43" s="52">
        <f t="shared" si="18"/>
        <v>0.03249431655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53" t="s">
        <v>55</v>
      </c>
      <c r="G44" s="54"/>
      <c r="H44" s="54"/>
      <c r="I44" s="60">
        <f>I43+I42</f>
        <v>0.6056105279</v>
      </c>
      <c r="J44" s="56"/>
      <c r="K44" s="52">
        <f t="shared" si="18"/>
        <v>0.1211221056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63"/>
      <c r="G45" s="2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63"/>
      <c r="G46" s="2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65" t="s">
        <v>56</v>
      </c>
      <c r="G47" s="66">
        <f>Proforma!M47/0.08</f>
        <v>5261740.955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65" t="s">
        <v>57</v>
      </c>
      <c r="G48" s="66">
        <f>G47*0.06</f>
        <v>315704.4573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65" t="s">
        <v>58</v>
      </c>
      <c r="G49" s="66">
        <f>'Sources and Uses'!Q9</f>
        <v>2108535.237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65" t="s">
        <v>59</v>
      </c>
      <c r="G50" s="66">
        <f>G47-G48-G49</f>
        <v>2837501.26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65" t="s">
        <v>60</v>
      </c>
      <c r="G51" s="66">
        <f>G50-C8</f>
        <v>1597501.26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67" t="s">
        <v>61</v>
      </c>
      <c r="G52" s="68">
        <f>G51/2</f>
        <v>798750.6302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4"/>
      <c r="F53" s="67" t="s">
        <v>62</v>
      </c>
      <c r="G53" s="68">
        <f>G52+-SUM('Sources and Uses'!M8:Q8)+Proforma!I64+Proforma!J64+Proforma!K64+Proforma!L64+Proforma!M64</f>
        <v>1549707.685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65" t="s">
        <v>63</v>
      </c>
      <c r="G54" s="69">
        <f>(G53)/C13</f>
        <v>1.249764262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65" t="s">
        <v>52</v>
      </c>
      <c r="G55" s="69">
        <f>G54/5</f>
        <v>0.2499528524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63"/>
      <c r="G56" s="2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63"/>
      <c r="G57" s="2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63"/>
      <c r="G58" s="2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63"/>
      <c r="G59" s="2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63"/>
      <c r="G60" s="2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63"/>
      <c r="G61" s="2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63"/>
      <c r="G62" s="2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63"/>
      <c r="G63" s="2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63"/>
      <c r="G64" s="2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4"/>
      <c r="F65" s="63"/>
      <c r="G65" s="2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63"/>
      <c r="G66" s="2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63"/>
      <c r="G67" s="2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63"/>
      <c r="G68" s="2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63"/>
      <c r="G69" s="2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63"/>
      <c r="G70" s="2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63"/>
      <c r="G71" s="2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63"/>
      <c r="G72" s="2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63"/>
      <c r="G73" s="2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63"/>
      <c r="G74" s="2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63"/>
      <c r="G75" s="2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63"/>
      <c r="G76" s="2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4"/>
      <c r="F77" s="63"/>
      <c r="G77" s="2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63"/>
      <c r="G78" s="2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6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6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4"/>
      <c r="G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4"/>
      <c r="G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4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4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47.63"/>
    <col customWidth="1" min="3" max="3" width="8.88"/>
    <col customWidth="1" min="4" max="4" width="12.5"/>
    <col customWidth="1" min="5" max="5" width="2.88"/>
    <col customWidth="1" min="6" max="6" width="35.13"/>
    <col customWidth="1" min="7" max="8" width="12.5"/>
    <col customWidth="1" min="9" max="9" width="20.25"/>
    <col customWidth="1" min="10" max="10" width="14.5"/>
    <col customWidth="1" min="11" max="11" width="3.13"/>
    <col customWidth="1" min="12" max="12" width="19.38"/>
    <col customWidth="1" min="13" max="18" width="12.5"/>
  </cols>
  <sheetData>
    <row r="1" ht="15.75" customHeight="1"/>
    <row r="2" ht="15.75" customHeight="1">
      <c r="B2" s="70" t="s">
        <v>64</v>
      </c>
      <c r="C2" s="70"/>
      <c r="D2" s="70"/>
      <c r="E2" s="70"/>
      <c r="F2" s="70"/>
      <c r="G2" s="70"/>
    </row>
    <row r="3" ht="15.75" customHeight="1"/>
    <row r="4" ht="15.75" customHeight="1">
      <c r="B4" s="71" t="s">
        <v>65</v>
      </c>
      <c r="C4" s="72"/>
      <c r="D4" s="73"/>
      <c r="F4" s="74" t="s">
        <v>66</v>
      </c>
      <c r="G4" s="74" t="s">
        <v>67</v>
      </c>
      <c r="H4" s="74" t="s">
        <v>68</v>
      </c>
      <c r="I4" s="74" t="s">
        <v>69</v>
      </c>
      <c r="J4" s="74" t="s">
        <v>70</v>
      </c>
      <c r="K4" s="75"/>
      <c r="L4" s="76" t="s">
        <v>71</v>
      </c>
      <c r="M4" s="77" t="s">
        <v>72</v>
      </c>
      <c r="N4" s="77" t="s">
        <v>73</v>
      </c>
      <c r="O4" s="77" t="s">
        <v>74</v>
      </c>
      <c r="P4" s="77" t="s">
        <v>75</v>
      </c>
      <c r="Q4" s="78" t="s">
        <v>76</v>
      </c>
    </row>
    <row r="5" ht="15.75" customHeight="1">
      <c r="B5" s="79" t="s">
        <v>77</v>
      </c>
      <c r="C5" s="79"/>
      <c r="D5" s="80">
        <v>3200000.0</v>
      </c>
      <c r="F5" s="81" t="s">
        <v>78</v>
      </c>
      <c r="G5" s="82">
        <f t="shared" ref="G5:G7" si="1">D6</f>
        <v>2310000</v>
      </c>
      <c r="H5" s="83">
        <v>0.071</v>
      </c>
      <c r="I5" s="84">
        <v>25.0</v>
      </c>
      <c r="J5" s="85">
        <f>PMT(H5/12,I5*12,-G5,0,0)</f>
        <v>16474.25591</v>
      </c>
      <c r="K5" s="86"/>
      <c r="L5" s="13"/>
      <c r="M5" s="87">
        <f t="shared" ref="M5:M7" si="2">iferror(CUMPRINC(H5/12,I5*12,G5,1,12,0),"")</f>
        <v>-34799.01589</v>
      </c>
      <c r="N5" s="87">
        <f t="shared" ref="N5:N7" si="3">iferror(CUMPRINC(H5/12,I5*12,G5,13,24,0),"")</f>
        <v>-37351.75471</v>
      </c>
      <c r="O5" s="87">
        <f t="shared" ref="O5:O7" si="4">iferror(CUMPRINC(H5/12,I5*12,G5,25,36,0),"")</f>
        <v>-40091.75386</v>
      </c>
      <c r="P5" s="87">
        <f t="shared" ref="P5:P7" si="5">iferror(CUMPRINC(H5/12,I5*12,G5,37,48,0),"")</f>
        <v>-43032.75014</v>
      </c>
      <c r="Q5" s="87">
        <f t="shared" ref="Q5:Q7" si="6">iferror(CUMPRINC(H5/12,I5*12,G5,49,60,0),"")</f>
        <v>-46189.48802</v>
      </c>
    </row>
    <row r="6" ht="15.75" customHeight="1">
      <c r="B6" s="79" t="s">
        <v>79</v>
      </c>
      <c r="C6" s="88"/>
      <c r="D6" s="89">
        <v>2310000.0</v>
      </c>
      <c r="F6" s="90" t="s">
        <v>80</v>
      </c>
      <c r="G6" s="91">
        <f t="shared" si="1"/>
        <v>0</v>
      </c>
      <c r="H6" s="92">
        <v>0.0675</v>
      </c>
      <c r="I6" s="93">
        <v>25.0</v>
      </c>
      <c r="J6" s="94">
        <f t="shared" ref="J6:J7" si="7">PMT(H6/12,I6*12,-G6,0,1)</f>
        <v>0</v>
      </c>
      <c r="K6" s="86"/>
      <c r="L6" s="13"/>
      <c r="M6" s="87" t="str">
        <f t="shared" si="2"/>
        <v/>
      </c>
      <c r="N6" s="87" t="str">
        <f t="shared" si="3"/>
        <v/>
      </c>
      <c r="O6" s="87" t="str">
        <f t="shared" si="4"/>
        <v/>
      </c>
      <c r="P6" s="87" t="str">
        <f t="shared" si="5"/>
        <v/>
      </c>
      <c r="Q6" s="87" t="str">
        <f t="shared" si="6"/>
        <v/>
      </c>
    </row>
    <row r="7" ht="15.75" customHeight="1">
      <c r="B7" s="79" t="s">
        <v>81</v>
      </c>
      <c r="C7" s="88">
        <v>0.0</v>
      </c>
      <c r="D7" s="95">
        <f>C7*D5</f>
        <v>0</v>
      </c>
      <c r="F7" s="96" t="s">
        <v>82</v>
      </c>
      <c r="G7" s="91">
        <f t="shared" si="1"/>
        <v>0</v>
      </c>
      <c r="H7" s="97">
        <v>0.05</v>
      </c>
      <c r="I7" s="98">
        <v>25.0</v>
      </c>
      <c r="J7" s="94">
        <f t="shared" si="7"/>
        <v>0</v>
      </c>
      <c r="K7" s="13"/>
      <c r="L7" s="13"/>
      <c r="M7" s="13" t="str">
        <f t="shared" si="2"/>
        <v/>
      </c>
      <c r="N7" s="13" t="str">
        <f t="shared" si="3"/>
        <v/>
      </c>
      <c r="O7" s="13" t="str">
        <f t="shared" si="4"/>
        <v/>
      </c>
      <c r="P7" s="13" t="str">
        <f t="shared" si="5"/>
        <v/>
      </c>
      <c r="Q7" s="13" t="str">
        <f t="shared" si="6"/>
        <v/>
      </c>
    </row>
    <row r="8" ht="15.75" customHeight="1">
      <c r="B8" s="79" t="s">
        <v>83</v>
      </c>
      <c r="C8" s="88">
        <v>0.0</v>
      </c>
      <c r="D8" s="95">
        <f>C8*D5</f>
        <v>0</v>
      </c>
      <c r="F8" s="81" t="s">
        <v>21</v>
      </c>
      <c r="G8" s="99">
        <f>G6+G5+G7</f>
        <v>2310000</v>
      </c>
      <c r="I8" s="84" t="s">
        <v>84</v>
      </c>
      <c r="J8" s="85">
        <f>J6+J5+J7</f>
        <v>16474.25591</v>
      </c>
      <c r="K8" s="75"/>
      <c r="L8" s="49" t="s">
        <v>85</v>
      </c>
      <c r="M8" s="87">
        <f t="shared" ref="M8:Q8" si="8">sum(M5:M7)</f>
        <v>-34799.01589</v>
      </c>
      <c r="N8" s="87">
        <f t="shared" si="8"/>
        <v>-37351.75471</v>
      </c>
      <c r="O8" s="87">
        <f t="shared" si="8"/>
        <v>-40091.75386</v>
      </c>
      <c r="P8" s="87">
        <f t="shared" si="8"/>
        <v>-43032.75014</v>
      </c>
      <c r="Q8" s="87">
        <f t="shared" si="8"/>
        <v>-46189.48802</v>
      </c>
    </row>
    <row r="9" ht="15.75" customHeight="1">
      <c r="B9" s="79" t="s">
        <v>86</v>
      </c>
      <c r="C9" s="79"/>
      <c r="D9" s="95">
        <f>D8+D7+D6</f>
        <v>2310000</v>
      </c>
      <c r="I9" s="84" t="s">
        <v>87</v>
      </c>
      <c r="J9" s="85">
        <f>J8*12</f>
        <v>197691.0709</v>
      </c>
      <c r="K9" s="75"/>
      <c r="L9" s="1" t="s">
        <v>88</v>
      </c>
      <c r="M9" s="23">
        <f>G8+M8</f>
        <v>2275200.984</v>
      </c>
      <c r="N9" s="100">
        <f t="shared" ref="N9:Q9" si="9">N8+M9</f>
        <v>2237849.229</v>
      </c>
      <c r="O9" s="100">
        <f t="shared" si="9"/>
        <v>2197757.476</v>
      </c>
      <c r="P9" s="100">
        <f t="shared" si="9"/>
        <v>2154724.725</v>
      </c>
      <c r="Q9" s="100">
        <f t="shared" si="9"/>
        <v>2108535.237</v>
      </c>
    </row>
    <row r="10" ht="15.75" customHeight="1">
      <c r="B10" s="79" t="s">
        <v>89</v>
      </c>
      <c r="C10" s="79"/>
      <c r="D10" s="95">
        <f>D5-D6-D7-D8</f>
        <v>890000</v>
      </c>
      <c r="L10" s="101"/>
    </row>
    <row r="11" ht="15.75" customHeight="1">
      <c r="B11" s="79" t="s">
        <v>16</v>
      </c>
      <c r="C11" s="102">
        <f>D11/D5</f>
        <v>0.041328125</v>
      </c>
      <c r="D11" s="95">
        <f>1240000-1107750</f>
        <v>132250</v>
      </c>
      <c r="F11" s="81"/>
      <c r="G11" s="99"/>
      <c r="I11" s="84"/>
      <c r="J11" s="85">
        <f>J5-16443.62</f>
        <v>30.63590758</v>
      </c>
    </row>
    <row r="12" ht="15.75" customHeight="1">
      <c r="B12" s="79" t="s">
        <v>90</v>
      </c>
      <c r="C12" s="79"/>
      <c r="D12" s="95">
        <f>D23</f>
        <v>217750</v>
      </c>
      <c r="F12" s="81"/>
      <c r="G12" s="99"/>
      <c r="I12" s="84"/>
      <c r="J12" s="85"/>
    </row>
    <row r="13" ht="15.75" customHeight="1">
      <c r="B13" s="79" t="s">
        <v>14</v>
      </c>
      <c r="C13" s="79"/>
      <c r="D13" s="95">
        <f>D12+D11+D10</f>
        <v>1240000</v>
      </c>
      <c r="F13" s="81"/>
      <c r="G13" s="99"/>
      <c r="I13" s="84"/>
      <c r="J13" s="103">
        <v>23588.76</v>
      </c>
      <c r="M13" s="96">
        <f t="shared" ref="M13:Q13" si="10">M8/$G$20</f>
        <v>-0.02806372249</v>
      </c>
      <c r="N13" s="96">
        <f t="shared" si="10"/>
        <v>-0.03012238283</v>
      </c>
      <c r="O13" s="96">
        <f t="shared" si="10"/>
        <v>-0.03233205956</v>
      </c>
      <c r="P13" s="96">
        <f t="shared" si="10"/>
        <v>-0.03470383076</v>
      </c>
      <c r="Q13" s="96">
        <f t="shared" si="10"/>
        <v>-0.03724958711</v>
      </c>
    </row>
    <row r="14" ht="15.75" customHeight="1">
      <c r="B14" s="79" t="s">
        <v>91</v>
      </c>
      <c r="C14" s="79"/>
      <c r="D14" s="95">
        <f>D13+D9</f>
        <v>3550000</v>
      </c>
      <c r="J14" s="96">
        <f>J13*12</f>
        <v>283065.12</v>
      </c>
    </row>
    <row r="15" ht="15.75" customHeight="1"/>
    <row r="16" ht="15.75" customHeight="1">
      <c r="B16" s="71" t="s">
        <v>90</v>
      </c>
      <c r="C16" s="72"/>
      <c r="D16" s="73"/>
      <c r="F16" s="71" t="s">
        <v>64</v>
      </c>
      <c r="G16" s="73"/>
    </row>
    <row r="17" ht="15.75" customHeight="1">
      <c r="B17" s="84" t="s">
        <v>92</v>
      </c>
      <c r="C17" s="102">
        <v>0.015</v>
      </c>
      <c r="D17" s="99">
        <f>C17*D9</f>
        <v>34650</v>
      </c>
      <c r="F17" s="84" t="s">
        <v>93</v>
      </c>
      <c r="G17" s="99">
        <f>D10</f>
        <v>890000</v>
      </c>
    </row>
    <row r="18" ht="15.75" customHeight="1">
      <c r="B18" s="84" t="s">
        <v>94</v>
      </c>
      <c r="C18" s="102">
        <v>0.01</v>
      </c>
      <c r="D18" s="99">
        <f>C18*D9</f>
        <v>23100</v>
      </c>
      <c r="F18" s="84" t="s">
        <v>90</v>
      </c>
      <c r="G18" s="99">
        <f>D23</f>
        <v>217750</v>
      </c>
    </row>
    <row r="19" ht="15.75" customHeight="1">
      <c r="B19" s="84" t="s">
        <v>95</v>
      </c>
      <c r="C19" s="102">
        <v>0.03</v>
      </c>
      <c r="D19" s="99">
        <f>C19*D5</f>
        <v>96000</v>
      </c>
      <c r="F19" s="84" t="s">
        <v>16</v>
      </c>
      <c r="G19" s="99">
        <f>D11</f>
        <v>132250</v>
      </c>
    </row>
    <row r="20" ht="15.75" customHeight="1">
      <c r="B20" s="84" t="s">
        <v>96</v>
      </c>
      <c r="C20" s="102">
        <v>0.01</v>
      </c>
      <c r="D20" s="99">
        <f>C20*D5</f>
        <v>32000</v>
      </c>
      <c r="F20" s="104" t="s">
        <v>97</v>
      </c>
      <c r="G20" s="105">
        <f>SUM(G17:G19)</f>
        <v>1240000</v>
      </c>
    </row>
    <row r="21">
      <c r="B21" s="84" t="s">
        <v>98</v>
      </c>
      <c r="C21" s="102">
        <v>0.01</v>
      </c>
      <c r="D21" s="99">
        <f>C21*D5</f>
        <v>32000</v>
      </c>
      <c r="G21" s="99"/>
    </row>
    <row r="22" ht="1.5" customHeight="1">
      <c r="B22" s="84"/>
      <c r="C22" s="84"/>
      <c r="D22" s="99"/>
      <c r="G22" s="99"/>
    </row>
    <row r="23" ht="15.75" customHeight="1">
      <c r="B23" s="104" t="s">
        <v>97</v>
      </c>
      <c r="C23" s="104"/>
      <c r="D23" s="105">
        <f>SUM(D17:D22)</f>
        <v>217750</v>
      </c>
    </row>
    <row r="24" ht="15.75" customHeight="1">
      <c r="H24" s="96">
        <f>2407500/3200000</f>
        <v>0.75234375</v>
      </c>
    </row>
    <row r="25" ht="15.75" customHeight="1"/>
    <row r="26" ht="15.75" customHeight="1">
      <c r="H26" s="96">
        <f>1250000-806000</f>
        <v>444000</v>
      </c>
    </row>
    <row r="27" ht="15.75" customHeight="1">
      <c r="G27" s="96">
        <f>G20*0.6563</f>
        <v>813812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F34" s="106" t="s">
        <v>99</v>
      </c>
      <c r="G34" s="107">
        <v>186078.0</v>
      </c>
    </row>
    <row r="35" ht="15.75" customHeight="1">
      <c r="F35" s="106" t="s">
        <v>100</v>
      </c>
      <c r="G35" s="107">
        <v>110089.0</v>
      </c>
    </row>
    <row r="36" ht="15.75" customHeight="1">
      <c r="F36" s="106" t="s">
        <v>101</v>
      </c>
      <c r="G36" s="107">
        <v>65000.0</v>
      </c>
    </row>
    <row r="37" ht="15.75" customHeight="1">
      <c r="F37" s="106" t="s">
        <v>102</v>
      </c>
      <c r="G37" s="107">
        <v>65000.0</v>
      </c>
    </row>
    <row r="38" ht="15.75" customHeight="1">
      <c r="F38" s="106" t="s">
        <v>103</v>
      </c>
      <c r="G38" s="107">
        <v>598172.68</v>
      </c>
    </row>
    <row r="39" ht="15.75" customHeight="1">
      <c r="G39" s="108">
        <f>sum(G34:G38)</f>
        <v>1024339.68</v>
      </c>
    </row>
    <row r="40" ht="15.75" customHeight="1">
      <c r="G40" s="109">
        <v>20000.0</v>
      </c>
    </row>
    <row r="41" ht="15.75" customHeight="1">
      <c r="G41" s="108">
        <f>G40+G39</f>
        <v>1044339.68</v>
      </c>
    </row>
    <row r="42" ht="15.75" customHeight="1">
      <c r="G42" s="106">
        <v>190953.66</v>
      </c>
    </row>
    <row r="43" ht="15.75" customHeight="1">
      <c r="G43" s="108">
        <f>G42+G41</f>
        <v>1235293.34</v>
      </c>
    </row>
    <row r="44" ht="15.75" customHeight="1">
      <c r="G44" s="110">
        <f>G20-G43</f>
        <v>4706.66</v>
      </c>
    </row>
    <row r="45" ht="15.75" customHeight="1"/>
    <row r="46" ht="15.75" customHeight="1"/>
    <row r="47" ht="15.75" customHeight="1"/>
    <row r="48" ht="15.75" customHeight="1"/>
    <row r="49" ht="15.75" customHeight="1">
      <c r="B49" s="1"/>
      <c r="C49" s="1"/>
      <c r="D49" s="1"/>
      <c r="E49" s="1"/>
      <c r="F49" s="1"/>
      <c r="G49" s="111" t="s">
        <v>104</v>
      </c>
      <c r="H49" s="112" t="s">
        <v>105</v>
      </c>
      <c r="J49" s="1" t="s">
        <v>106</v>
      </c>
    </row>
    <row r="50" ht="15.75" customHeight="1">
      <c r="B50" s="112" t="s">
        <v>107</v>
      </c>
      <c r="C50" s="1"/>
      <c r="D50" s="1"/>
      <c r="E50" s="1"/>
      <c r="F50" s="49" t="s">
        <v>108</v>
      </c>
      <c r="G50" s="49" t="s">
        <v>108</v>
      </c>
      <c r="H50" s="49" t="s">
        <v>25</v>
      </c>
      <c r="I50" s="49" t="s">
        <v>109</v>
      </c>
      <c r="J50" s="49" t="s">
        <v>110</v>
      </c>
    </row>
    <row r="51" ht="15.75" customHeight="1">
      <c r="B51" s="113" t="s">
        <v>111</v>
      </c>
      <c r="C51" s="113" t="s">
        <v>112</v>
      </c>
      <c r="D51" s="113" t="s">
        <v>113</v>
      </c>
      <c r="E51" s="1"/>
      <c r="F51" s="64" t="s">
        <v>114</v>
      </c>
      <c r="G51" s="114">
        <v>0.6563</v>
      </c>
      <c r="H51" s="115">
        <f t="shared" ref="H51:H55" si="11">G51*$G$20</f>
        <v>813812</v>
      </c>
      <c r="I51" s="116">
        <v>598172.68</v>
      </c>
      <c r="J51" s="117">
        <f>H51-I51</f>
        <v>215639.32</v>
      </c>
    </row>
    <row r="52" ht="15.75" customHeight="1">
      <c r="B52" s="1" t="s">
        <v>115</v>
      </c>
      <c r="C52" s="23">
        <f>D19</f>
        <v>96000</v>
      </c>
      <c r="D52" s="1"/>
      <c r="E52" s="1"/>
      <c r="F52" s="64" t="s">
        <v>116</v>
      </c>
      <c r="G52" s="114">
        <v>0.0888</v>
      </c>
      <c r="H52" s="115">
        <f t="shared" si="11"/>
        <v>110112</v>
      </c>
      <c r="I52" s="86">
        <f>D72</f>
        <v>190953.66</v>
      </c>
      <c r="J52" s="1"/>
    </row>
    <row r="53" ht="15.75" customHeight="1">
      <c r="B53" s="49" t="s">
        <v>117</v>
      </c>
      <c r="C53" s="49"/>
      <c r="D53" s="118">
        <v>96000.0</v>
      </c>
      <c r="E53" s="1"/>
      <c r="F53" s="64" t="s">
        <v>118</v>
      </c>
      <c r="G53" s="114">
        <v>0.1501</v>
      </c>
      <c r="H53" s="115">
        <f t="shared" si="11"/>
        <v>186124</v>
      </c>
      <c r="I53" s="86">
        <f>I52+I51</f>
        <v>789126.34</v>
      </c>
      <c r="J53" s="119">
        <f>H51-I53</f>
        <v>24685.66</v>
      </c>
      <c r="L53" s="106" t="s">
        <v>119</v>
      </c>
    </row>
    <row r="54" ht="15.75" customHeight="1">
      <c r="B54" s="1" t="s">
        <v>21</v>
      </c>
      <c r="C54" s="23">
        <f t="shared" ref="C54:D54" si="12">C53+C52</f>
        <v>96000</v>
      </c>
      <c r="D54" s="120">
        <f t="shared" si="12"/>
        <v>96000</v>
      </c>
      <c r="E54" s="1"/>
      <c r="F54" s="106" t="s">
        <v>120</v>
      </c>
      <c r="G54" s="114">
        <v>0.0524</v>
      </c>
      <c r="H54" s="115">
        <f t="shared" si="11"/>
        <v>64976</v>
      </c>
      <c r="I54" s="1"/>
      <c r="J54" s="1"/>
    </row>
    <row r="55" ht="15.75" customHeight="1">
      <c r="B55" s="1"/>
      <c r="C55" s="1"/>
      <c r="D55" s="1"/>
      <c r="E55" s="1"/>
      <c r="F55" s="121" t="s">
        <v>121</v>
      </c>
      <c r="G55" s="122">
        <v>0.0524</v>
      </c>
      <c r="H55" s="123">
        <f t="shared" si="11"/>
        <v>64976</v>
      </c>
      <c r="I55" s="1"/>
      <c r="J55" s="1"/>
    </row>
    <row r="56" ht="15.75" customHeight="1">
      <c r="B56" s="124" t="s">
        <v>122</v>
      </c>
      <c r="C56" s="113"/>
      <c r="D56" s="113"/>
      <c r="E56" s="1"/>
      <c r="F56" s="1" t="s">
        <v>21</v>
      </c>
      <c r="G56" s="125">
        <f t="shared" ref="G56:H56" si="13">sum(G51:G55)</f>
        <v>1</v>
      </c>
      <c r="H56" s="115">
        <f t="shared" si="13"/>
        <v>1240000</v>
      </c>
      <c r="I56" s="1"/>
      <c r="J56" s="1"/>
    </row>
    <row r="57" ht="15.75" customHeight="1">
      <c r="B57" s="1" t="s">
        <v>111</v>
      </c>
      <c r="C57" s="1" t="s">
        <v>112</v>
      </c>
      <c r="D57" s="1" t="s">
        <v>113</v>
      </c>
      <c r="E57" s="1"/>
      <c r="F57" s="1"/>
      <c r="G57" s="1"/>
      <c r="H57" s="1"/>
      <c r="I57" s="1"/>
      <c r="J57" s="1"/>
    </row>
    <row r="58" ht="15.75" customHeight="1">
      <c r="B58" s="1" t="s">
        <v>123</v>
      </c>
      <c r="C58" s="116">
        <f>3200000-C59</f>
        <v>2878663</v>
      </c>
      <c r="D58" s="86"/>
      <c r="E58" s="1"/>
      <c r="F58" s="64" t="s">
        <v>124</v>
      </c>
      <c r="G58" s="1"/>
      <c r="H58" s="1"/>
      <c r="I58" s="1"/>
      <c r="J58" s="1"/>
    </row>
    <row r="59" ht="15.75" customHeight="1">
      <c r="B59" s="64" t="s">
        <v>125</v>
      </c>
      <c r="C59" s="86">
        <f>321337</f>
        <v>321337</v>
      </c>
      <c r="D59" s="116"/>
      <c r="E59" s="1"/>
      <c r="F59" s="1"/>
      <c r="G59" s="1"/>
      <c r="H59" s="1"/>
      <c r="I59" s="1"/>
      <c r="J59" s="1"/>
    </row>
    <row r="60" ht="15.75" customHeight="1">
      <c r="B60" s="1" t="s">
        <v>126</v>
      </c>
      <c r="C60" s="86"/>
      <c r="D60" s="116">
        <v>2310000.0</v>
      </c>
      <c r="E60" s="1"/>
      <c r="F60" s="1"/>
      <c r="G60" s="1"/>
      <c r="H60" s="1"/>
      <c r="I60" s="1"/>
      <c r="J60" s="1"/>
    </row>
    <row r="61" ht="15.75" customHeight="1">
      <c r="B61" s="64" t="s">
        <v>127</v>
      </c>
      <c r="C61" s="86"/>
      <c r="D61" s="116">
        <v>65000.0</v>
      </c>
      <c r="E61" s="1"/>
      <c r="F61" s="86">
        <f t="shared" ref="F61:F62" si="14">104000-D61</f>
        <v>39000</v>
      </c>
      <c r="G61" s="1"/>
      <c r="H61" s="1"/>
      <c r="I61" s="1"/>
      <c r="J61" s="1"/>
    </row>
    <row r="62" ht="15.75" customHeight="1">
      <c r="B62" s="64" t="s">
        <v>128</v>
      </c>
      <c r="C62" s="86"/>
      <c r="D62" s="116">
        <v>65000.0</v>
      </c>
      <c r="E62" s="1"/>
      <c r="F62" s="86">
        <f t="shared" si="14"/>
        <v>39000</v>
      </c>
      <c r="G62" s="1"/>
      <c r="H62" s="1"/>
      <c r="I62" s="1"/>
      <c r="J62" s="1"/>
    </row>
    <row r="63" ht="15.75" customHeight="1">
      <c r="B63" s="64" t="s">
        <v>129</v>
      </c>
      <c r="C63" s="86"/>
      <c r="D63" s="116">
        <v>110089.0</v>
      </c>
      <c r="E63" s="1"/>
      <c r="F63" s="1"/>
      <c r="G63" s="1"/>
      <c r="H63" s="1"/>
      <c r="I63" s="1"/>
      <c r="J63" s="1"/>
    </row>
    <row r="64" ht="15.75" customHeight="1">
      <c r="B64" s="64" t="s">
        <v>130</v>
      </c>
      <c r="C64" s="86"/>
      <c r="D64" s="116">
        <v>186078.0</v>
      </c>
      <c r="E64" s="1"/>
      <c r="F64" s="86">
        <f>40000+332156-D64</f>
        <v>186078</v>
      </c>
      <c r="G64" s="1"/>
      <c r="H64" s="1"/>
      <c r="I64" s="1"/>
      <c r="J64" s="1"/>
    </row>
    <row r="65" ht="15.75" customHeight="1">
      <c r="B65" s="64" t="s">
        <v>131</v>
      </c>
      <c r="C65" s="115"/>
      <c r="D65" s="126">
        <v>497127.0</v>
      </c>
      <c r="E65" s="1"/>
      <c r="F65" s="1"/>
      <c r="G65" s="1"/>
      <c r="H65" s="1"/>
      <c r="I65" s="1"/>
      <c r="J65" s="1"/>
    </row>
    <row r="66" ht="15.75" customHeight="1">
      <c r="B66" s="64" t="s">
        <v>132</v>
      </c>
      <c r="C66" s="116">
        <v>96000.0</v>
      </c>
      <c r="D66" s="86"/>
      <c r="E66" s="1"/>
      <c r="F66" s="1"/>
      <c r="G66" s="1"/>
      <c r="H66" s="1"/>
      <c r="I66" s="1"/>
      <c r="J66" s="1"/>
    </row>
    <row r="67" ht="15.75" customHeight="1">
      <c r="B67" s="64" t="s">
        <v>133</v>
      </c>
      <c r="C67" s="116">
        <v>999.0</v>
      </c>
      <c r="D67" s="86"/>
      <c r="E67" s="1"/>
      <c r="F67" s="1"/>
      <c r="G67" s="1"/>
      <c r="H67" s="1"/>
      <c r="I67" s="1"/>
      <c r="J67" s="1"/>
    </row>
    <row r="68" ht="15.75" customHeight="1">
      <c r="B68" s="64" t="s">
        <v>134</v>
      </c>
      <c r="C68" s="116">
        <v>1200.0</v>
      </c>
      <c r="D68" s="86"/>
      <c r="E68" s="1"/>
      <c r="F68" s="1"/>
      <c r="G68" s="1"/>
      <c r="H68" s="1"/>
      <c r="I68" s="1"/>
      <c r="J68" s="1"/>
    </row>
    <row r="69" ht="15.75" customHeight="1">
      <c r="B69" s="64" t="s">
        <v>135</v>
      </c>
      <c r="C69" s="116">
        <v>2846.68</v>
      </c>
      <c r="D69" s="86"/>
      <c r="E69" s="1"/>
      <c r="F69" s="1"/>
      <c r="G69" s="1"/>
      <c r="H69" s="1"/>
      <c r="I69" s="1"/>
      <c r="J69" s="1"/>
    </row>
    <row r="70" ht="15.75" customHeight="1">
      <c r="B70" s="64" t="s">
        <v>131</v>
      </c>
      <c r="C70" s="115"/>
      <c r="D70" s="126">
        <v>101045.68</v>
      </c>
      <c r="E70" s="1"/>
      <c r="F70" s="1"/>
      <c r="G70" s="1"/>
      <c r="H70" s="1"/>
      <c r="I70" s="1"/>
      <c r="J70" s="1"/>
    </row>
    <row r="71" ht="15.75" customHeight="1">
      <c r="B71" s="64" t="s">
        <v>136</v>
      </c>
      <c r="C71" s="116">
        <v>190953.66</v>
      </c>
      <c r="D71" s="86"/>
      <c r="E71" s="1"/>
      <c r="F71" s="1"/>
      <c r="G71" s="1"/>
      <c r="H71" s="1"/>
      <c r="I71" s="1"/>
      <c r="J71" s="1"/>
    </row>
    <row r="72" ht="15.75" customHeight="1">
      <c r="B72" s="64" t="s">
        <v>137</v>
      </c>
      <c r="C72" s="116"/>
      <c r="D72" s="126">
        <v>190953.66</v>
      </c>
      <c r="E72" s="1"/>
      <c r="F72" s="1"/>
      <c r="G72" s="1"/>
      <c r="H72" s="1"/>
      <c r="I72" s="1"/>
      <c r="J72" s="1"/>
    </row>
    <row r="73" ht="15.75" customHeight="1">
      <c r="B73" s="49" t="s">
        <v>98</v>
      </c>
      <c r="C73" s="127">
        <v>33294.0</v>
      </c>
      <c r="D73" s="128"/>
      <c r="E73" s="1"/>
      <c r="F73" s="1"/>
      <c r="G73" s="1"/>
      <c r="H73" s="1"/>
      <c r="I73" s="1"/>
      <c r="J73" s="1"/>
    </row>
    <row r="74" ht="15.75" customHeight="1">
      <c r="B74" s="1" t="s">
        <v>21</v>
      </c>
      <c r="C74" s="115">
        <f t="shared" ref="C74:D74" si="15">sum(C58:C73)</f>
        <v>3525293.34</v>
      </c>
      <c r="D74" s="115">
        <f t="shared" si="15"/>
        <v>3525293.34</v>
      </c>
      <c r="E74" s="1"/>
      <c r="F74" s="1"/>
      <c r="G74" s="1"/>
      <c r="H74" s="1"/>
      <c r="I74" s="1"/>
      <c r="J74" s="1"/>
    </row>
    <row r="75" ht="15.75" customHeight="1"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B76" s="129" t="s">
        <v>138</v>
      </c>
      <c r="C76" s="1"/>
      <c r="D76" s="1"/>
      <c r="E76" s="1"/>
      <c r="F76" s="1"/>
      <c r="G76" s="1"/>
      <c r="H76" s="1"/>
      <c r="I76" s="1"/>
      <c r="J76" s="1"/>
    </row>
    <row r="77" ht="15.75" customHeight="1">
      <c r="B77" s="113" t="s">
        <v>111</v>
      </c>
      <c r="C77" s="113" t="s">
        <v>112</v>
      </c>
      <c r="D77" s="113" t="s">
        <v>113</v>
      </c>
      <c r="E77" s="1"/>
      <c r="F77" s="49" t="s">
        <v>139</v>
      </c>
      <c r="G77" s="130">
        <v>46048.0</v>
      </c>
      <c r="H77" s="49"/>
      <c r="I77" s="1"/>
      <c r="J77" s="1"/>
    </row>
    <row r="78" ht="15.75" customHeight="1">
      <c r="B78" s="1" t="s">
        <v>140</v>
      </c>
      <c r="C78" s="86" t="str">
        <f>D37</f>
        <v/>
      </c>
      <c r="D78" s="116">
        <v>96000.0</v>
      </c>
      <c r="E78" s="1"/>
      <c r="F78" s="1" t="s">
        <v>141</v>
      </c>
      <c r="G78" s="116">
        <v>598172.68</v>
      </c>
      <c r="H78" s="1"/>
      <c r="I78" s="1"/>
      <c r="J78" s="1"/>
    </row>
    <row r="79" ht="15.75" customHeight="1">
      <c r="B79" s="49" t="s">
        <v>142</v>
      </c>
      <c r="C79" s="127">
        <v>96000.0</v>
      </c>
      <c r="D79" s="128"/>
      <c r="E79" s="1"/>
      <c r="F79" s="1" t="s">
        <v>143</v>
      </c>
      <c r="G79" s="116">
        <v>598172.68</v>
      </c>
      <c r="H79" s="1"/>
      <c r="I79" s="1"/>
      <c r="J79" s="1"/>
    </row>
    <row r="80" ht="15.75" customHeight="1">
      <c r="B80" s="1" t="s">
        <v>21</v>
      </c>
      <c r="C80" s="115">
        <f t="shared" ref="C80:D80" si="16">C79+C78</f>
        <v>96000</v>
      </c>
      <c r="D80" s="115">
        <f t="shared" si="16"/>
        <v>96000</v>
      </c>
      <c r="E80" s="1"/>
      <c r="F80" s="1"/>
      <c r="G80" s="1"/>
      <c r="H80" s="1"/>
      <c r="I80" s="1"/>
      <c r="J80" s="1"/>
    </row>
    <row r="81" ht="15.75" customHeight="1"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B82" s="112" t="s">
        <v>144</v>
      </c>
      <c r="C82" s="1"/>
      <c r="D82" s="1"/>
      <c r="E82" s="1"/>
      <c r="F82" s="1"/>
      <c r="G82" s="1"/>
      <c r="H82" s="1"/>
      <c r="I82" s="1"/>
      <c r="J82" s="1"/>
    </row>
    <row r="83" ht="15.75" customHeight="1">
      <c r="B83" s="1" t="s">
        <v>145</v>
      </c>
      <c r="C83" s="131">
        <v>45683.0</v>
      </c>
      <c r="D83" s="116">
        <v>23100.0</v>
      </c>
      <c r="E83" s="1"/>
      <c r="F83" s="1"/>
      <c r="G83" s="1"/>
      <c r="H83" s="1"/>
      <c r="I83" s="1"/>
      <c r="J83" s="1"/>
    </row>
    <row r="84" ht="15.75" customHeight="1"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B85" s="132" t="s">
        <v>146</v>
      </c>
      <c r="C85" s="1"/>
      <c r="D85" s="1"/>
      <c r="E85" s="1"/>
      <c r="F85" s="1"/>
      <c r="G85" s="1"/>
      <c r="H85" s="1"/>
      <c r="I85" s="1"/>
      <c r="J85" s="1"/>
    </row>
    <row r="86" ht="15.75" customHeight="1">
      <c r="B86" s="132" t="s">
        <v>147</v>
      </c>
      <c r="C86" s="1"/>
      <c r="D86" s="1"/>
      <c r="E86" s="1"/>
      <c r="F86" s="1"/>
      <c r="G86" s="1"/>
      <c r="H86" s="1"/>
      <c r="I86" s="1"/>
      <c r="J86" s="1"/>
    </row>
    <row r="87" ht="15.75" customHeight="1">
      <c r="B87" s="64"/>
      <c r="C87" s="1"/>
      <c r="D87" s="1"/>
      <c r="E87" s="1"/>
      <c r="F87" s="1"/>
      <c r="G87" s="1"/>
      <c r="H87" s="1"/>
      <c r="I87" s="1"/>
      <c r="J87" s="1"/>
    </row>
    <row r="88" ht="15.75" customHeight="1"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3">
    <mergeCell ref="B4:D4"/>
    <mergeCell ref="B16:D16"/>
    <mergeCell ref="F16:G16"/>
  </mergeCells>
  <hyperlinks>
    <hyperlink r:id="rId4" ref="G49"/>
    <hyperlink r:id="rId5" ref="H49"/>
    <hyperlink r:id="rId6" ref="B50"/>
    <hyperlink r:id="rId7" ref="B56"/>
    <hyperlink r:id="rId8" ref="B76"/>
    <hyperlink r:id="rId9" ref="B82"/>
  </hyperlinks>
  <printOptions/>
  <pageMargins bottom="0.0" footer="0.0" header="0.0" left="0.0" right="0.0" top="0.0"/>
  <pageSetup orientation="landscape"/>
  <drawing r:id="rId10"/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1.88"/>
    <col customWidth="1" min="3" max="3" width="42.25"/>
    <col customWidth="1" min="4" max="7" width="12.5"/>
    <col customWidth="1" min="8" max="8" width="14.88"/>
    <col customWidth="1" min="9" max="13" width="12.25"/>
    <col customWidth="1" min="14" max="14" width="12.5"/>
    <col customWidth="1" min="15" max="15" width="18.75"/>
    <col customWidth="1" min="16" max="26" width="12.5"/>
  </cols>
  <sheetData>
    <row r="1" ht="9.75" customHeight="1"/>
    <row r="2" ht="15.75" customHeight="1">
      <c r="C2" s="70" t="s">
        <v>148</v>
      </c>
      <c r="D2" s="133"/>
      <c r="E2" s="133"/>
      <c r="F2" s="133"/>
      <c r="G2" s="133"/>
      <c r="H2" s="133"/>
      <c r="I2" s="133"/>
      <c r="J2" s="133"/>
      <c r="K2" s="133"/>
      <c r="L2" s="133"/>
      <c r="M2" s="133"/>
    </row>
    <row r="3" ht="15.75" customHeight="1">
      <c r="C3" s="134"/>
    </row>
    <row r="4" ht="15.75" customHeight="1">
      <c r="C4" s="135" t="s">
        <v>149</v>
      </c>
      <c r="D4" s="136">
        <v>2022.0</v>
      </c>
      <c r="E4" s="136">
        <v>2023.0</v>
      </c>
      <c r="F4" s="136">
        <v>2024.0</v>
      </c>
      <c r="G4" s="137" t="s">
        <v>150</v>
      </c>
      <c r="H4" s="136" t="s">
        <v>151</v>
      </c>
      <c r="I4" s="136" t="s">
        <v>152</v>
      </c>
      <c r="J4" s="136" t="s">
        <v>153</v>
      </c>
      <c r="K4" s="136" t="s">
        <v>154</v>
      </c>
      <c r="L4" s="136" t="s">
        <v>155</v>
      </c>
      <c r="M4" s="136" t="s">
        <v>156</v>
      </c>
    </row>
    <row r="5" ht="15.75" customHeight="1">
      <c r="C5" s="138" t="s">
        <v>157</v>
      </c>
      <c r="D5" s="139"/>
      <c r="E5" s="139"/>
      <c r="F5" s="139"/>
      <c r="G5" s="139"/>
      <c r="H5" s="139"/>
      <c r="I5" s="139">
        <f>5000*20*12</f>
        <v>1200000</v>
      </c>
      <c r="J5" s="139">
        <f t="shared" ref="J5:M5" si="1">I5*1.03</f>
        <v>1236000</v>
      </c>
      <c r="K5" s="139">
        <f t="shared" si="1"/>
        <v>1273080</v>
      </c>
      <c r="L5" s="139">
        <f t="shared" si="1"/>
        <v>1311272.4</v>
      </c>
      <c r="M5" s="139">
        <f t="shared" si="1"/>
        <v>1350610.572</v>
      </c>
      <c r="O5" s="108">
        <f t="shared" ref="O5:O47" si="3">I5/12</f>
        <v>100000</v>
      </c>
    </row>
    <row r="6" ht="15.75" customHeight="1">
      <c r="C6" s="138" t="s">
        <v>11</v>
      </c>
      <c r="D6" s="139"/>
      <c r="E6" s="139"/>
      <c r="F6" s="139"/>
      <c r="G6" s="139"/>
      <c r="H6" s="139"/>
      <c r="I6" s="139">
        <f t="shared" ref="I6:M6" si="2">-I5*0.08</f>
        <v>-96000</v>
      </c>
      <c r="J6" s="139">
        <f t="shared" si="2"/>
        <v>-98880</v>
      </c>
      <c r="K6" s="139">
        <f t="shared" si="2"/>
        <v>-101846.4</v>
      </c>
      <c r="L6" s="139">
        <f t="shared" si="2"/>
        <v>-104901.792</v>
      </c>
      <c r="M6" s="139">
        <f t="shared" si="2"/>
        <v>-108048.8458</v>
      </c>
      <c r="O6" s="108">
        <f t="shared" si="3"/>
        <v>-8000</v>
      </c>
    </row>
    <row r="7" ht="15.75" customHeight="1">
      <c r="A7" s="140"/>
      <c r="B7" s="140"/>
      <c r="C7" s="141" t="s">
        <v>158</v>
      </c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0"/>
      <c r="O7" s="108">
        <f t="shared" si="3"/>
        <v>0</v>
      </c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</row>
    <row r="8" ht="15.75" customHeight="1">
      <c r="A8" s="140"/>
      <c r="B8" s="140"/>
      <c r="C8" s="143" t="s">
        <v>159</v>
      </c>
      <c r="D8" s="144"/>
      <c r="E8" s="144"/>
      <c r="F8" s="144"/>
      <c r="G8" s="144"/>
      <c r="H8" s="144"/>
      <c r="I8" s="144">
        <v>5000.0</v>
      </c>
      <c r="J8" s="144">
        <f t="shared" ref="J8:M8" si="4">I8*1.2</f>
        <v>6000</v>
      </c>
      <c r="K8" s="144">
        <f t="shared" si="4"/>
        <v>7200</v>
      </c>
      <c r="L8" s="144">
        <f t="shared" si="4"/>
        <v>8640</v>
      </c>
      <c r="M8" s="144">
        <f t="shared" si="4"/>
        <v>10368</v>
      </c>
      <c r="N8" s="140"/>
      <c r="O8" s="108">
        <f t="shared" si="3"/>
        <v>416.6666667</v>
      </c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ht="15.75" customHeight="1">
      <c r="A9" s="140"/>
      <c r="B9" s="140"/>
      <c r="C9" s="143" t="s">
        <v>13</v>
      </c>
      <c r="D9" s="144"/>
      <c r="E9" s="144"/>
      <c r="F9" s="144"/>
      <c r="G9" s="144"/>
      <c r="H9" s="144"/>
      <c r="I9" s="144">
        <v>2500.0</v>
      </c>
      <c r="J9" s="144">
        <f t="shared" ref="J9:M9" si="5">I9</f>
        <v>2500</v>
      </c>
      <c r="K9" s="144">
        <f t="shared" si="5"/>
        <v>2500</v>
      </c>
      <c r="L9" s="144">
        <f t="shared" si="5"/>
        <v>2500</v>
      </c>
      <c r="M9" s="144">
        <f t="shared" si="5"/>
        <v>2500</v>
      </c>
      <c r="N9" s="140"/>
      <c r="O9" s="108">
        <f t="shared" si="3"/>
        <v>208.3333333</v>
      </c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 ht="15.75" customHeight="1">
      <c r="A10" s="140"/>
      <c r="B10" s="140"/>
      <c r="C10" s="143" t="s">
        <v>160</v>
      </c>
      <c r="D10" s="145">
        <v>762385.9</v>
      </c>
      <c r="E10" s="145">
        <v>898360.99</v>
      </c>
      <c r="F10" s="145">
        <v>982748.03</v>
      </c>
      <c r="G10" s="146">
        <v>229323.19</v>
      </c>
      <c r="H10" s="144">
        <f>G10*4</f>
        <v>917292.76</v>
      </c>
      <c r="I10" s="144">
        <f t="shared" ref="I10:M10" si="6">I5+I6</f>
        <v>1104000</v>
      </c>
      <c r="J10" s="144">
        <f t="shared" si="6"/>
        <v>1137120</v>
      </c>
      <c r="K10" s="144">
        <f t="shared" si="6"/>
        <v>1171233.6</v>
      </c>
      <c r="L10" s="144">
        <f t="shared" si="6"/>
        <v>1206370.608</v>
      </c>
      <c r="M10" s="144">
        <f t="shared" si="6"/>
        <v>1242561.726</v>
      </c>
      <c r="N10" s="140"/>
      <c r="O10" s="108">
        <f t="shared" si="3"/>
        <v>92000</v>
      </c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</row>
    <row r="11" ht="15.75" customHeight="1">
      <c r="A11" s="140"/>
      <c r="B11" s="140"/>
      <c r="C11" s="143" t="s">
        <v>161</v>
      </c>
      <c r="D11" s="144"/>
      <c r="E11" s="144"/>
      <c r="F11" s="144"/>
      <c r="G11" s="144"/>
      <c r="H11" s="144"/>
      <c r="I11" s="144">
        <v>5000.0</v>
      </c>
      <c r="J11" s="144">
        <f t="shared" ref="J11:M11" si="7">I11*1.2</f>
        <v>6000</v>
      </c>
      <c r="K11" s="144">
        <f t="shared" si="7"/>
        <v>7200</v>
      </c>
      <c r="L11" s="144">
        <f t="shared" si="7"/>
        <v>8640</v>
      </c>
      <c r="M11" s="144">
        <f t="shared" si="7"/>
        <v>10368</v>
      </c>
      <c r="N11" s="115">
        <f>N12-I12</f>
        <v>58300</v>
      </c>
      <c r="O11" s="108">
        <f t="shared" si="3"/>
        <v>416.6666667</v>
      </c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 ht="15.75" customHeight="1">
      <c r="A12" s="140"/>
      <c r="B12" s="140"/>
      <c r="C12" s="141" t="s">
        <v>162</v>
      </c>
      <c r="D12" s="147">
        <f t="shared" ref="D12:M12" si="8">SUM(D8:D11)</f>
        <v>762385.9</v>
      </c>
      <c r="E12" s="147">
        <f t="shared" si="8"/>
        <v>898360.99</v>
      </c>
      <c r="F12" s="147">
        <f t="shared" si="8"/>
        <v>982748.03</v>
      </c>
      <c r="G12" s="147">
        <f t="shared" si="8"/>
        <v>229323.19</v>
      </c>
      <c r="H12" s="147">
        <f t="shared" si="8"/>
        <v>917292.76</v>
      </c>
      <c r="I12" s="147">
        <f t="shared" si="8"/>
        <v>1116500</v>
      </c>
      <c r="J12" s="147">
        <f t="shared" si="8"/>
        <v>1151620</v>
      </c>
      <c r="K12" s="147">
        <f t="shared" si="8"/>
        <v>1188133.6</v>
      </c>
      <c r="L12" s="147">
        <f t="shared" si="8"/>
        <v>1226150.608</v>
      </c>
      <c r="M12" s="147">
        <f t="shared" si="8"/>
        <v>1265797.726</v>
      </c>
      <c r="N12" s="115">
        <f>N13*12</f>
        <v>1174800</v>
      </c>
      <c r="O12" s="108">
        <f t="shared" si="3"/>
        <v>93041.66667</v>
      </c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</row>
    <row r="13" ht="15.75" customHeight="1">
      <c r="A13" s="140"/>
      <c r="B13" s="140"/>
      <c r="C13" s="148"/>
      <c r="D13" s="144"/>
      <c r="E13" s="144"/>
      <c r="F13" s="144"/>
      <c r="G13" s="144"/>
      <c r="H13" s="144"/>
      <c r="I13" s="144">
        <f>I12/12</f>
        <v>93041.66667</v>
      </c>
      <c r="J13" s="144"/>
      <c r="K13" s="144"/>
      <c r="L13" s="144"/>
      <c r="M13" s="144"/>
      <c r="N13" s="149">
        <v>97900.0</v>
      </c>
      <c r="O13" s="108">
        <f t="shared" si="3"/>
        <v>7753.472222</v>
      </c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</row>
    <row r="14" ht="15.75" customHeight="1">
      <c r="A14" s="140"/>
      <c r="B14" s="140"/>
      <c r="C14" s="141" t="s">
        <v>17</v>
      </c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86"/>
      <c r="O14" s="108">
        <f t="shared" si="3"/>
        <v>0</v>
      </c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 ht="15.75" customHeight="1">
      <c r="A15" s="140"/>
      <c r="B15" s="140"/>
      <c r="C15" s="150" t="s">
        <v>163</v>
      </c>
      <c r="D15" s="151" t="s">
        <v>164</v>
      </c>
      <c r="E15" s="152">
        <v>1200.0</v>
      </c>
      <c r="F15" s="152">
        <v>11028.5</v>
      </c>
      <c r="G15" s="153">
        <v>1755.0</v>
      </c>
      <c r="H15" s="144">
        <f t="shared" ref="H15:H45" si="10">G15*4</f>
        <v>7020</v>
      </c>
      <c r="I15" s="146">
        <v>8000.0</v>
      </c>
      <c r="J15" s="144">
        <f t="shared" ref="J15:M15" si="9">I15*1.03</f>
        <v>8240</v>
      </c>
      <c r="K15" s="144">
        <f t="shared" si="9"/>
        <v>8487.2</v>
      </c>
      <c r="L15" s="144">
        <f t="shared" si="9"/>
        <v>8741.816</v>
      </c>
      <c r="M15" s="144">
        <f t="shared" si="9"/>
        <v>9004.07048</v>
      </c>
      <c r="N15" s="4"/>
      <c r="O15" s="108">
        <f t="shared" si="3"/>
        <v>666.6666667</v>
      </c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</row>
    <row r="16" ht="15.75" customHeight="1">
      <c r="A16" s="140"/>
      <c r="B16" s="140"/>
      <c r="C16" s="150" t="s">
        <v>165</v>
      </c>
      <c r="D16" s="152">
        <v>5965.18</v>
      </c>
      <c r="E16" s="152">
        <v>1525.14</v>
      </c>
      <c r="F16" s="152">
        <v>6522.48</v>
      </c>
      <c r="G16" s="153">
        <v>606.38</v>
      </c>
      <c r="H16" s="144">
        <f t="shared" si="10"/>
        <v>2425.52</v>
      </c>
      <c r="I16" s="146">
        <v>6500.0</v>
      </c>
      <c r="J16" s="144">
        <f t="shared" ref="J16:M16" si="11">I16*1.03</f>
        <v>6695</v>
      </c>
      <c r="K16" s="144">
        <f t="shared" si="11"/>
        <v>6895.85</v>
      </c>
      <c r="L16" s="144">
        <f t="shared" si="11"/>
        <v>7102.7255</v>
      </c>
      <c r="M16" s="144">
        <f t="shared" si="11"/>
        <v>7315.807265</v>
      </c>
      <c r="N16" s="4"/>
      <c r="O16" s="108">
        <f t="shared" si="3"/>
        <v>541.6666667</v>
      </c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 ht="15.75" customHeight="1">
      <c r="A17" s="140"/>
      <c r="B17" s="140"/>
      <c r="C17" s="150" t="s">
        <v>166</v>
      </c>
      <c r="D17" s="152">
        <v>2.0</v>
      </c>
      <c r="E17" s="152">
        <v>1455.2</v>
      </c>
      <c r="F17" s="152">
        <v>1158.92</v>
      </c>
      <c r="G17" s="153">
        <v>75.0</v>
      </c>
      <c r="H17" s="144">
        <f t="shared" si="10"/>
        <v>300</v>
      </c>
      <c r="I17" s="144">
        <v>1200.0</v>
      </c>
      <c r="J17" s="144">
        <f t="shared" ref="J17:M17" si="12">I17*1.03</f>
        <v>1236</v>
      </c>
      <c r="K17" s="144">
        <f t="shared" si="12"/>
        <v>1273.08</v>
      </c>
      <c r="L17" s="144">
        <f t="shared" si="12"/>
        <v>1311.2724</v>
      </c>
      <c r="M17" s="144">
        <f t="shared" si="12"/>
        <v>1350.610572</v>
      </c>
      <c r="N17" s="4"/>
      <c r="O17" s="108">
        <f t="shared" si="3"/>
        <v>100</v>
      </c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 ht="15.75" customHeight="1">
      <c r="A18" s="140"/>
      <c r="B18" s="140"/>
      <c r="C18" s="150" t="s">
        <v>167</v>
      </c>
      <c r="D18" s="152">
        <v>2317.0</v>
      </c>
      <c r="E18" s="152">
        <v>2689.0</v>
      </c>
      <c r="F18" s="152">
        <v>829.0</v>
      </c>
      <c r="G18" s="154"/>
      <c r="H18" s="144">
        <f t="shared" si="10"/>
        <v>0</v>
      </c>
      <c r="I18" s="144">
        <v>2500.0</v>
      </c>
      <c r="J18" s="144">
        <f t="shared" ref="J18:M18" si="13">I18*1.03</f>
        <v>2575</v>
      </c>
      <c r="K18" s="144">
        <f t="shared" si="13"/>
        <v>2652.25</v>
      </c>
      <c r="L18" s="144">
        <f t="shared" si="13"/>
        <v>2731.8175</v>
      </c>
      <c r="M18" s="144">
        <f t="shared" si="13"/>
        <v>2813.772025</v>
      </c>
      <c r="N18" s="4"/>
      <c r="O18" s="108">
        <f t="shared" si="3"/>
        <v>208.3333333</v>
      </c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 ht="15.75" customHeight="1">
      <c r="A19" s="140"/>
      <c r="B19" s="140"/>
      <c r="C19" s="150" t="s">
        <v>168</v>
      </c>
      <c r="D19" s="152">
        <v>3067.5</v>
      </c>
      <c r="E19" s="152">
        <v>3745.0</v>
      </c>
      <c r="F19" s="152">
        <v>4617.5</v>
      </c>
      <c r="G19" s="153">
        <v>957.5</v>
      </c>
      <c r="H19" s="144">
        <f t="shared" si="10"/>
        <v>3830</v>
      </c>
      <c r="I19" s="144">
        <v>4500.0</v>
      </c>
      <c r="J19" s="144">
        <f t="shared" ref="J19:M19" si="14">I19*1.03</f>
        <v>4635</v>
      </c>
      <c r="K19" s="144">
        <f t="shared" si="14"/>
        <v>4774.05</v>
      </c>
      <c r="L19" s="144">
        <f t="shared" si="14"/>
        <v>4917.2715</v>
      </c>
      <c r="M19" s="144">
        <f t="shared" si="14"/>
        <v>5064.789645</v>
      </c>
      <c r="N19" s="4"/>
      <c r="O19" s="108">
        <f t="shared" si="3"/>
        <v>375</v>
      </c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ht="15.75" customHeight="1">
      <c r="A20" s="140"/>
      <c r="B20" s="140"/>
      <c r="C20" s="150" t="s">
        <v>169</v>
      </c>
      <c r="D20" s="144"/>
      <c r="E20" s="144"/>
      <c r="F20" s="144"/>
      <c r="G20" s="154"/>
      <c r="H20" s="144">
        <f t="shared" si="10"/>
        <v>0</v>
      </c>
      <c r="I20" s="144"/>
      <c r="J20" s="144">
        <f t="shared" ref="J20:M20" si="15">I20*1.03</f>
        <v>0</v>
      </c>
      <c r="K20" s="144">
        <f t="shared" si="15"/>
        <v>0</v>
      </c>
      <c r="L20" s="144">
        <f t="shared" si="15"/>
        <v>0</v>
      </c>
      <c r="M20" s="144">
        <f t="shared" si="15"/>
        <v>0</v>
      </c>
      <c r="N20" s="4"/>
      <c r="O20" s="108">
        <f t="shared" si="3"/>
        <v>0</v>
      </c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</row>
    <row r="21" ht="15.75" customHeight="1">
      <c r="A21" s="140"/>
      <c r="B21" s="140"/>
      <c r="C21" s="150" t="s">
        <v>170</v>
      </c>
      <c r="D21" s="152">
        <v>1918.81</v>
      </c>
      <c r="E21" s="152">
        <v>1699.73</v>
      </c>
      <c r="F21" s="152">
        <v>5171.09</v>
      </c>
      <c r="G21" s="153">
        <v>1305.48</v>
      </c>
      <c r="H21" s="144">
        <f t="shared" si="10"/>
        <v>5221.92</v>
      </c>
      <c r="I21" s="144">
        <v>2500.0</v>
      </c>
      <c r="J21" s="144">
        <f t="shared" ref="J21:M21" si="16">I21*1.03</f>
        <v>2575</v>
      </c>
      <c r="K21" s="144">
        <f t="shared" si="16"/>
        <v>2652.25</v>
      </c>
      <c r="L21" s="144">
        <f t="shared" si="16"/>
        <v>2731.8175</v>
      </c>
      <c r="M21" s="144">
        <f t="shared" si="16"/>
        <v>2813.772025</v>
      </c>
      <c r="N21" s="4"/>
      <c r="O21" s="108">
        <f t="shared" si="3"/>
        <v>208.3333333</v>
      </c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ht="15.75" customHeight="1">
      <c r="A22" s="140"/>
      <c r="B22" s="140"/>
      <c r="C22" s="150" t="s">
        <v>171</v>
      </c>
      <c r="D22" s="155">
        <v>65000.0</v>
      </c>
      <c r="E22" s="155">
        <v>65000.0</v>
      </c>
      <c r="F22" s="156">
        <v>65000.0</v>
      </c>
      <c r="G22" s="157">
        <f>65000/4</f>
        <v>16250</v>
      </c>
      <c r="H22" s="144">
        <f t="shared" si="10"/>
        <v>65000</v>
      </c>
      <c r="I22" s="155">
        <v>65000.0</v>
      </c>
      <c r="J22" s="144">
        <f t="shared" ref="J22:M22" si="17">I22*1.03</f>
        <v>66950</v>
      </c>
      <c r="K22" s="144">
        <f t="shared" si="17"/>
        <v>68958.5</v>
      </c>
      <c r="L22" s="144">
        <f t="shared" si="17"/>
        <v>71027.255</v>
      </c>
      <c r="M22" s="144">
        <f t="shared" si="17"/>
        <v>73158.07265</v>
      </c>
      <c r="N22" s="4"/>
      <c r="O22" s="108">
        <f t="shared" si="3"/>
        <v>5416.666667</v>
      </c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ht="15.75" customHeight="1">
      <c r="A23" s="140"/>
      <c r="B23" s="140"/>
      <c r="C23" s="150" t="s">
        <v>172</v>
      </c>
      <c r="D23" s="144">
        <f>372150.03-D22+2021.49+179</f>
        <v>309350.52</v>
      </c>
      <c r="E23" s="144">
        <f>516817.64-E22+752.07+1162.79</f>
        <v>453732.5</v>
      </c>
      <c r="F23" s="144">
        <f>543985.31-F22+1707.34+100</f>
        <v>480792.65</v>
      </c>
      <c r="G23" s="154">
        <f>133613.48-G22+98.35</f>
        <v>117461.83</v>
      </c>
      <c r="H23" s="144">
        <f t="shared" si="10"/>
        <v>469847.32</v>
      </c>
      <c r="I23" s="158">
        <v>450000.0</v>
      </c>
      <c r="J23" s="144">
        <f t="shared" ref="J23:M23" si="18">I23*1.03</f>
        <v>463500</v>
      </c>
      <c r="K23" s="144">
        <f t="shared" si="18"/>
        <v>477405</v>
      </c>
      <c r="L23" s="144">
        <f t="shared" si="18"/>
        <v>491727.15</v>
      </c>
      <c r="M23" s="144">
        <f t="shared" si="18"/>
        <v>506478.9645</v>
      </c>
      <c r="N23" s="4"/>
      <c r="O23" s="108">
        <f t="shared" si="3"/>
        <v>37500</v>
      </c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 ht="15.75" customHeight="1">
      <c r="A24" s="140"/>
      <c r="B24" s="140"/>
      <c r="C24" s="150" t="s">
        <v>173</v>
      </c>
      <c r="D24" s="144"/>
      <c r="E24" s="144"/>
      <c r="F24" s="144"/>
      <c r="G24" s="154"/>
      <c r="H24" s="144">
        <f t="shared" si="10"/>
        <v>0</v>
      </c>
      <c r="I24" s="144">
        <v>0.0</v>
      </c>
      <c r="J24" s="144">
        <f t="shared" ref="J24:M24" si="19">I24*1.03</f>
        <v>0</v>
      </c>
      <c r="K24" s="144">
        <f t="shared" si="19"/>
        <v>0</v>
      </c>
      <c r="L24" s="144">
        <f t="shared" si="19"/>
        <v>0</v>
      </c>
      <c r="M24" s="144">
        <f t="shared" si="19"/>
        <v>0</v>
      </c>
      <c r="N24" s="4"/>
      <c r="O24" s="108">
        <f t="shared" si="3"/>
        <v>0</v>
      </c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ht="15.75" customHeight="1">
      <c r="A25" s="140"/>
      <c r="B25" s="140"/>
      <c r="C25" s="150" t="s">
        <v>174</v>
      </c>
      <c r="D25" s="144"/>
      <c r="E25" s="144"/>
      <c r="F25" s="144"/>
      <c r="G25" s="154"/>
      <c r="H25" s="144">
        <f t="shared" si="10"/>
        <v>0</v>
      </c>
      <c r="I25" s="144">
        <v>0.0</v>
      </c>
      <c r="J25" s="144">
        <f t="shared" ref="J25:M25" si="20">I25*1.03</f>
        <v>0</v>
      </c>
      <c r="K25" s="144">
        <f t="shared" si="20"/>
        <v>0</v>
      </c>
      <c r="L25" s="144">
        <f t="shared" si="20"/>
        <v>0</v>
      </c>
      <c r="M25" s="144">
        <f t="shared" si="20"/>
        <v>0</v>
      </c>
      <c r="N25" s="4"/>
      <c r="O25" s="108">
        <f t="shared" si="3"/>
        <v>0</v>
      </c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ht="15.75" customHeight="1">
      <c r="A26" s="140"/>
      <c r="B26" s="140"/>
      <c r="C26" s="150" t="s">
        <v>175</v>
      </c>
      <c r="D26" s="152">
        <f>8223.22+10820.73</f>
        <v>19043.95</v>
      </c>
      <c r="E26" s="152">
        <f>4866.29-13.35</f>
        <v>4852.94</v>
      </c>
      <c r="F26" s="152">
        <f>3711.27+1099.43</f>
        <v>4810.7</v>
      </c>
      <c r="G26" s="153">
        <f>699.96+277.55</f>
        <v>977.51</v>
      </c>
      <c r="H26" s="144">
        <f t="shared" si="10"/>
        <v>3910.04</v>
      </c>
      <c r="I26" s="144">
        <v>5000.0</v>
      </c>
      <c r="J26" s="144">
        <f t="shared" ref="J26:M26" si="21">I26*1.03</f>
        <v>5150</v>
      </c>
      <c r="K26" s="144">
        <f t="shared" si="21"/>
        <v>5304.5</v>
      </c>
      <c r="L26" s="144">
        <f t="shared" si="21"/>
        <v>5463.635</v>
      </c>
      <c r="M26" s="144">
        <f t="shared" si="21"/>
        <v>5627.54405</v>
      </c>
      <c r="N26" s="4"/>
      <c r="O26" s="108">
        <f t="shared" si="3"/>
        <v>416.6666667</v>
      </c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ht="15.75" customHeight="1">
      <c r="A27" s="140"/>
      <c r="B27" s="140"/>
      <c r="C27" s="150" t="s">
        <v>176</v>
      </c>
      <c r="D27" s="144"/>
      <c r="E27" s="144"/>
      <c r="F27" s="144"/>
      <c r="G27" s="154"/>
      <c r="H27" s="144">
        <f t="shared" si="10"/>
        <v>0</v>
      </c>
      <c r="I27" s="144">
        <v>0.0</v>
      </c>
      <c r="J27" s="144">
        <f t="shared" ref="J27:M27" si="22">I27*1.03</f>
        <v>0</v>
      </c>
      <c r="K27" s="144">
        <f t="shared" si="22"/>
        <v>0</v>
      </c>
      <c r="L27" s="144">
        <f t="shared" si="22"/>
        <v>0</v>
      </c>
      <c r="M27" s="144">
        <f t="shared" si="22"/>
        <v>0</v>
      </c>
      <c r="N27" s="4"/>
      <c r="O27" s="108">
        <f t="shared" si="3"/>
        <v>0</v>
      </c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 ht="15.75" customHeight="1">
      <c r="A28" s="140"/>
      <c r="B28" s="140"/>
      <c r="C28" s="150" t="s">
        <v>177</v>
      </c>
      <c r="D28" s="144"/>
      <c r="E28" s="144"/>
      <c r="F28" s="144"/>
      <c r="G28" s="154"/>
      <c r="H28" s="144">
        <f t="shared" si="10"/>
        <v>0</v>
      </c>
      <c r="I28" s="144">
        <v>0.0</v>
      </c>
      <c r="J28" s="144">
        <f t="shared" ref="J28:M28" si="23">I28*1.03</f>
        <v>0</v>
      </c>
      <c r="K28" s="144">
        <f t="shared" si="23"/>
        <v>0</v>
      </c>
      <c r="L28" s="144">
        <f t="shared" si="23"/>
        <v>0</v>
      </c>
      <c r="M28" s="144">
        <f t="shared" si="23"/>
        <v>0</v>
      </c>
      <c r="N28" s="4"/>
      <c r="O28" s="108">
        <f t="shared" si="3"/>
        <v>0</v>
      </c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 ht="15.75" customHeight="1">
      <c r="A29" s="140"/>
      <c r="B29" s="140"/>
      <c r="C29" s="150" t="s">
        <v>135</v>
      </c>
      <c r="D29" s="152">
        <v>1389.84</v>
      </c>
      <c r="E29" s="151" t="s">
        <v>164</v>
      </c>
      <c r="F29" s="152">
        <v>21949.61</v>
      </c>
      <c r="G29" s="153">
        <v>327.0</v>
      </c>
      <c r="H29" s="144">
        <f t="shared" si="10"/>
        <v>1308</v>
      </c>
      <c r="I29" s="155">
        <v>21949.61</v>
      </c>
      <c r="J29" s="144">
        <f t="shared" ref="J29:M29" si="24">I29*1.03</f>
        <v>22608.0983</v>
      </c>
      <c r="K29" s="144">
        <f t="shared" si="24"/>
        <v>23286.34125</v>
      </c>
      <c r="L29" s="144">
        <f t="shared" si="24"/>
        <v>23984.93149</v>
      </c>
      <c r="M29" s="144">
        <f t="shared" si="24"/>
        <v>24704.47943</v>
      </c>
      <c r="N29" s="4"/>
      <c r="O29" s="108">
        <f t="shared" si="3"/>
        <v>1829.134167</v>
      </c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</row>
    <row r="30" ht="15.75" customHeight="1">
      <c r="A30" s="84"/>
      <c r="B30" s="84"/>
      <c r="C30" s="150" t="s">
        <v>178</v>
      </c>
      <c r="D30" s="144"/>
      <c r="E30" s="144"/>
      <c r="F30" s="144"/>
      <c r="G30" s="154"/>
      <c r="H30" s="144">
        <f t="shared" si="10"/>
        <v>0</v>
      </c>
      <c r="I30" s="144"/>
      <c r="J30" s="144">
        <f t="shared" ref="J30:M30" si="25">I30*1.03</f>
        <v>0</v>
      </c>
      <c r="K30" s="144">
        <f t="shared" si="25"/>
        <v>0</v>
      </c>
      <c r="L30" s="144">
        <f t="shared" si="25"/>
        <v>0</v>
      </c>
      <c r="M30" s="144">
        <f t="shared" si="25"/>
        <v>0</v>
      </c>
      <c r="N30" s="4"/>
      <c r="O30" s="108">
        <f t="shared" si="3"/>
        <v>0</v>
      </c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ht="15.75" customHeight="1">
      <c r="A31" s="140"/>
      <c r="B31" s="140"/>
      <c r="C31" s="150" t="s">
        <v>179</v>
      </c>
      <c r="D31" s="144"/>
      <c r="E31" s="144"/>
      <c r="F31" s="144"/>
      <c r="G31" s="154"/>
      <c r="H31" s="144">
        <f t="shared" si="10"/>
        <v>0</v>
      </c>
      <c r="I31" s="144"/>
      <c r="J31" s="144">
        <f t="shared" ref="J31:M31" si="26">I31*1.03</f>
        <v>0</v>
      </c>
      <c r="K31" s="144">
        <f t="shared" si="26"/>
        <v>0</v>
      </c>
      <c r="L31" s="144">
        <f t="shared" si="26"/>
        <v>0</v>
      </c>
      <c r="M31" s="144">
        <f t="shared" si="26"/>
        <v>0</v>
      </c>
      <c r="N31" s="4"/>
      <c r="O31" s="108">
        <f t="shared" si="3"/>
        <v>0</v>
      </c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 ht="15.75" customHeight="1">
      <c r="A32" s="140"/>
      <c r="B32" s="140"/>
      <c r="C32" s="150" t="s">
        <v>180</v>
      </c>
      <c r="D32" s="152">
        <v>200.0</v>
      </c>
      <c r="E32" s="159"/>
      <c r="F32" s="152">
        <v>783.82</v>
      </c>
      <c r="G32" s="153">
        <v>98.2</v>
      </c>
      <c r="H32" s="144">
        <f t="shared" si="10"/>
        <v>392.8</v>
      </c>
      <c r="I32" s="144">
        <v>785.0</v>
      </c>
      <c r="J32" s="144">
        <f t="shared" ref="J32:M32" si="27">I32*1.03</f>
        <v>808.55</v>
      </c>
      <c r="K32" s="144">
        <f t="shared" si="27"/>
        <v>832.8065</v>
      </c>
      <c r="L32" s="144">
        <f t="shared" si="27"/>
        <v>857.790695</v>
      </c>
      <c r="M32" s="144">
        <f t="shared" si="27"/>
        <v>883.5244159</v>
      </c>
      <c r="N32" s="4"/>
      <c r="O32" s="108">
        <f t="shared" si="3"/>
        <v>65.41666667</v>
      </c>
      <c r="P32" s="160"/>
      <c r="Q32" s="140"/>
      <c r="R32" s="140"/>
      <c r="S32" s="140"/>
      <c r="T32" s="140"/>
      <c r="U32" s="140"/>
      <c r="V32" s="140"/>
      <c r="W32" s="140"/>
      <c r="X32" s="140"/>
      <c r="Y32" s="140"/>
      <c r="Z32" s="140"/>
    </row>
    <row r="33" ht="15.75" customHeight="1">
      <c r="A33" s="140"/>
      <c r="B33" s="140"/>
      <c r="C33" s="150" t="s">
        <v>181</v>
      </c>
      <c r="D33" s="152">
        <v>6602.89</v>
      </c>
      <c r="E33" s="152">
        <v>3349.16</v>
      </c>
      <c r="F33" s="152">
        <v>4064.08</v>
      </c>
      <c r="G33" s="153">
        <v>759.82</v>
      </c>
      <c r="H33" s="144">
        <f t="shared" si="10"/>
        <v>3039.28</v>
      </c>
      <c r="I33" s="144">
        <v>4500.0</v>
      </c>
      <c r="J33" s="144">
        <f t="shared" ref="J33:M33" si="28">I33*1.03</f>
        <v>4635</v>
      </c>
      <c r="K33" s="144">
        <f t="shared" si="28"/>
        <v>4774.05</v>
      </c>
      <c r="L33" s="144">
        <f t="shared" si="28"/>
        <v>4917.2715</v>
      </c>
      <c r="M33" s="144">
        <f t="shared" si="28"/>
        <v>5064.789645</v>
      </c>
      <c r="N33" s="4"/>
      <c r="O33" s="108">
        <f t="shared" si="3"/>
        <v>375</v>
      </c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</row>
    <row r="34" ht="15.75" customHeight="1">
      <c r="A34" s="140"/>
      <c r="B34" s="140"/>
      <c r="C34" s="150" t="s">
        <v>182</v>
      </c>
      <c r="D34" s="159">
        <f>43.3+950.68</f>
        <v>993.98</v>
      </c>
      <c r="E34" s="152">
        <f>161.88+27.49+659.21</f>
        <v>848.58</v>
      </c>
      <c r="F34" s="152">
        <f>744.4+99.66+25.86</f>
        <v>869.92</v>
      </c>
      <c r="G34" s="153">
        <f>1060.03+12.25+97.12</f>
        <v>1169.4</v>
      </c>
      <c r="H34" s="144">
        <f t="shared" si="10"/>
        <v>4677.6</v>
      </c>
      <c r="I34" s="144">
        <v>1000.0</v>
      </c>
      <c r="J34" s="144">
        <f t="shared" ref="J34:M34" si="29">I34*1.03</f>
        <v>1030</v>
      </c>
      <c r="K34" s="144">
        <f t="shared" si="29"/>
        <v>1060.9</v>
      </c>
      <c r="L34" s="144">
        <f t="shared" si="29"/>
        <v>1092.727</v>
      </c>
      <c r="M34" s="144">
        <f t="shared" si="29"/>
        <v>1125.50881</v>
      </c>
      <c r="N34" s="4"/>
      <c r="O34" s="108">
        <f t="shared" si="3"/>
        <v>83.33333333</v>
      </c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</row>
    <row r="35" ht="15.75" customHeight="1">
      <c r="A35" s="140"/>
      <c r="B35" s="140"/>
      <c r="C35" s="150" t="s">
        <v>183</v>
      </c>
      <c r="D35" s="152">
        <v>1206.29</v>
      </c>
      <c r="E35" s="152">
        <v>1308.0</v>
      </c>
      <c r="F35" s="152">
        <v>1309.9</v>
      </c>
      <c r="G35" s="153">
        <v>426.2</v>
      </c>
      <c r="H35" s="144">
        <f t="shared" si="10"/>
        <v>1704.8</v>
      </c>
      <c r="I35" s="144">
        <v>1500.0</v>
      </c>
      <c r="J35" s="144">
        <f t="shared" ref="J35:M35" si="30">I35*1.03</f>
        <v>1545</v>
      </c>
      <c r="K35" s="144">
        <f t="shared" si="30"/>
        <v>1591.35</v>
      </c>
      <c r="L35" s="144">
        <f t="shared" si="30"/>
        <v>1639.0905</v>
      </c>
      <c r="M35" s="144">
        <f t="shared" si="30"/>
        <v>1688.263215</v>
      </c>
      <c r="N35" s="4"/>
      <c r="O35" s="108">
        <f t="shared" si="3"/>
        <v>125</v>
      </c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</row>
    <row r="36" ht="15.75" customHeight="1">
      <c r="A36" s="140"/>
      <c r="B36" s="140"/>
      <c r="C36" s="150" t="s">
        <v>184</v>
      </c>
      <c r="D36" s="144"/>
      <c r="E36" s="144"/>
      <c r="F36" s="144"/>
      <c r="G36" s="154"/>
      <c r="H36" s="144">
        <f t="shared" si="10"/>
        <v>0</v>
      </c>
      <c r="I36" s="144"/>
      <c r="J36" s="144">
        <f t="shared" ref="J36:M36" si="31">I36*1.03</f>
        <v>0</v>
      </c>
      <c r="K36" s="144">
        <f t="shared" si="31"/>
        <v>0</v>
      </c>
      <c r="L36" s="144">
        <f t="shared" si="31"/>
        <v>0</v>
      </c>
      <c r="M36" s="144">
        <f t="shared" si="31"/>
        <v>0</v>
      </c>
      <c r="N36" s="4"/>
      <c r="O36" s="108">
        <f t="shared" si="3"/>
        <v>0</v>
      </c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</row>
    <row r="37" ht="15.75" customHeight="1">
      <c r="A37" s="140"/>
      <c r="B37" s="140"/>
      <c r="C37" s="150" t="s">
        <v>185</v>
      </c>
      <c r="D37" s="152">
        <v>35749.36</v>
      </c>
      <c r="E37" s="152">
        <v>40486.08</v>
      </c>
      <c r="F37" s="152">
        <v>36303.32</v>
      </c>
      <c r="G37" s="153">
        <v>8753.37</v>
      </c>
      <c r="H37" s="144">
        <f t="shared" si="10"/>
        <v>35013.48</v>
      </c>
      <c r="I37" s="146">
        <v>40000.0</v>
      </c>
      <c r="J37" s="144">
        <f t="shared" ref="J37:M37" si="32">I37*1.03</f>
        <v>41200</v>
      </c>
      <c r="K37" s="144">
        <f t="shared" si="32"/>
        <v>42436</v>
      </c>
      <c r="L37" s="144">
        <f t="shared" si="32"/>
        <v>43709.08</v>
      </c>
      <c r="M37" s="144">
        <f t="shared" si="32"/>
        <v>45020.3524</v>
      </c>
      <c r="N37" s="4"/>
      <c r="O37" s="108">
        <f t="shared" si="3"/>
        <v>3333.333333</v>
      </c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</row>
    <row r="38" ht="15.75" customHeight="1">
      <c r="A38" s="140"/>
      <c r="B38" s="140"/>
      <c r="C38" s="150" t="s">
        <v>186</v>
      </c>
      <c r="D38" s="151">
        <v>19962.91</v>
      </c>
      <c r="E38" s="152">
        <f>1110.41+8499.21</f>
        <v>9609.62</v>
      </c>
      <c r="F38" s="152">
        <f>1029.82+12540.51</f>
        <v>13570.33</v>
      </c>
      <c r="G38" s="154">
        <f>1196.79+1240.18</f>
        <v>2436.97</v>
      </c>
      <c r="H38" s="144">
        <f t="shared" si="10"/>
        <v>9747.88</v>
      </c>
      <c r="I38" s="144">
        <v>15000.0</v>
      </c>
      <c r="J38" s="144">
        <f t="shared" ref="J38:M38" si="33">I38*1.03</f>
        <v>15450</v>
      </c>
      <c r="K38" s="144">
        <f t="shared" si="33"/>
        <v>15913.5</v>
      </c>
      <c r="L38" s="144">
        <f t="shared" si="33"/>
        <v>16390.905</v>
      </c>
      <c r="M38" s="144">
        <f t="shared" si="33"/>
        <v>16882.63215</v>
      </c>
      <c r="N38" s="4"/>
      <c r="O38" s="108">
        <f t="shared" si="3"/>
        <v>1250</v>
      </c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</row>
    <row r="39" ht="15.75" customHeight="1">
      <c r="A39" s="140"/>
      <c r="B39" s="140"/>
      <c r="C39" s="150" t="s">
        <v>187</v>
      </c>
      <c r="D39" s="152">
        <v>520.38</v>
      </c>
      <c r="E39" s="152">
        <v>903.39</v>
      </c>
      <c r="F39" s="152">
        <v>945.64</v>
      </c>
      <c r="G39" s="153">
        <v>169.0</v>
      </c>
      <c r="H39" s="144">
        <f t="shared" si="10"/>
        <v>676</v>
      </c>
      <c r="I39" s="144">
        <v>2500.0</v>
      </c>
      <c r="J39" s="144">
        <f t="shared" ref="J39:M39" si="34">I39*1.03</f>
        <v>2575</v>
      </c>
      <c r="K39" s="144">
        <f t="shared" si="34"/>
        <v>2652.25</v>
      </c>
      <c r="L39" s="144">
        <f t="shared" si="34"/>
        <v>2731.8175</v>
      </c>
      <c r="M39" s="144">
        <f t="shared" si="34"/>
        <v>2813.772025</v>
      </c>
      <c r="N39" s="4"/>
      <c r="O39" s="108">
        <f t="shared" si="3"/>
        <v>208.3333333</v>
      </c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</row>
    <row r="40" ht="15.75" customHeight="1">
      <c r="A40" s="140"/>
      <c r="B40" s="140"/>
      <c r="C40" s="150" t="s">
        <v>188</v>
      </c>
      <c r="D40" s="152">
        <v>830.29</v>
      </c>
      <c r="E40" s="152">
        <v>25122.8</v>
      </c>
      <c r="F40" s="152">
        <v>9.7</v>
      </c>
      <c r="G40" s="154"/>
      <c r="H40" s="144">
        <f t="shared" si="10"/>
        <v>0</v>
      </c>
      <c r="I40" s="158">
        <v>9711.18</v>
      </c>
      <c r="J40" s="144">
        <f t="shared" ref="J40:M40" si="35">I40*1.03</f>
        <v>10002.5154</v>
      </c>
      <c r="K40" s="144">
        <f t="shared" si="35"/>
        <v>10302.59086</v>
      </c>
      <c r="L40" s="144">
        <f t="shared" si="35"/>
        <v>10611.66859</v>
      </c>
      <c r="M40" s="144">
        <f t="shared" si="35"/>
        <v>10930.01865</v>
      </c>
      <c r="N40" s="4"/>
      <c r="O40" s="108">
        <f t="shared" si="3"/>
        <v>809.265</v>
      </c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</row>
    <row r="41" ht="15.75" customHeight="1">
      <c r="A41" s="140"/>
      <c r="B41" s="140"/>
      <c r="C41" s="150" t="s">
        <v>189</v>
      </c>
      <c r="D41" s="144"/>
      <c r="E41" s="144"/>
      <c r="F41" s="144"/>
      <c r="G41" s="154"/>
      <c r="H41" s="144">
        <f t="shared" si="10"/>
        <v>0</v>
      </c>
      <c r="I41" s="144"/>
      <c r="J41" s="144">
        <f t="shared" ref="J41:M41" si="36">I41*1.03</f>
        <v>0</v>
      </c>
      <c r="K41" s="144">
        <f t="shared" si="36"/>
        <v>0</v>
      </c>
      <c r="L41" s="144">
        <f t="shared" si="36"/>
        <v>0</v>
      </c>
      <c r="M41" s="144">
        <f t="shared" si="36"/>
        <v>0</v>
      </c>
      <c r="N41" s="4"/>
      <c r="O41" s="108">
        <f t="shared" si="3"/>
        <v>0</v>
      </c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</row>
    <row r="42" ht="15.75" customHeight="1">
      <c r="A42" s="140"/>
      <c r="B42" s="140"/>
      <c r="C42" s="150" t="s">
        <v>190</v>
      </c>
      <c r="D42" s="144"/>
      <c r="E42" s="144"/>
      <c r="F42" s="144"/>
      <c r="G42" s="154"/>
      <c r="H42" s="144">
        <f t="shared" si="10"/>
        <v>0</v>
      </c>
      <c r="I42" s="144"/>
      <c r="J42" s="144"/>
      <c r="K42" s="144"/>
      <c r="L42" s="144"/>
      <c r="M42" s="144"/>
      <c r="N42" s="4"/>
      <c r="O42" s="108">
        <f t="shared" si="3"/>
        <v>0</v>
      </c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</row>
    <row r="43" ht="15.75" customHeight="1">
      <c r="A43" s="140"/>
      <c r="B43" s="140"/>
      <c r="C43" s="150" t="s">
        <v>191</v>
      </c>
      <c r="D43" s="144"/>
      <c r="E43" s="144"/>
      <c r="F43" s="144"/>
      <c r="G43" s="154"/>
      <c r="H43" s="144">
        <f t="shared" si="10"/>
        <v>0</v>
      </c>
      <c r="I43" s="144"/>
      <c r="J43" s="144">
        <f t="shared" ref="J43:M43" si="37">I43*1.03</f>
        <v>0</v>
      </c>
      <c r="K43" s="144">
        <f t="shared" si="37"/>
        <v>0</v>
      </c>
      <c r="L43" s="144">
        <f t="shared" si="37"/>
        <v>0</v>
      </c>
      <c r="M43" s="144">
        <f t="shared" si="37"/>
        <v>0</v>
      </c>
      <c r="N43" s="4"/>
      <c r="O43" s="108">
        <f t="shared" si="3"/>
        <v>0</v>
      </c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</row>
    <row r="44" ht="15.75" customHeight="1">
      <c r="A44" s="140"/>
      <c r="B44" s="140"/>
      <c r="C44" s="150" t="s">
        <v>192</v>
      </c>
      <c r="D44" s="152">
        <v>20822.61</v>
      </c>
      <c r="E44" s="152">
        <v>22200.0</v>
      </c>
      <c r="F44" s="152">
        <v>22898.16</v>
      </c>
      <c r="G44" s="153">
        <v>7152.11</v>
      </c>
      <c r="H44" s="144">
        <f t="shared" si="10"/>
        <v>28608.44</v>
      </c>
      <c r="I44" s="144">
        <v>23000.0</v>
      </c>
      <c r="J44" s="144">
        <f t="shared" ref="J44:M44" si="38">I44*1.03</f>
        <v>23690</v>
      </c>
      <c r="K44" s="144">
        <f t="shared" si="38"/>
        <v>24400.7</v>
      </c>
      <c r="L44" s="144">
        <f t="shared" si="38"/>
        <v>25132.721</v>
      </c>
      <c r="M44" s="144">
        <f t="shared" si="38"/>
        <v>25886.70263</v>
      </c>
      <c r="N44" s="4"/>
      <c r="O44" s="108">
        <f t="shared" si="3"/>
        <v>1916.666667</v>
      </c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</row>
    <row r="45" ht="15.75" customHeight="1">
      <c r="A45" s="140"/>
      <c r="B45" s="140"/>
      <c r="C45" s="150" t="s">
        <v>193</v>
      </c>
      <c r="D45" s="152">
        <v>639.0</v>
      </c>
      <c r="E45" s="152">
        <v>981.62</v>
      </c>
      <c r="F45" s="152">
        <v>349.5</v>
      </c>
      <c r="G45" s="154"/>
      <c r="H45" s="144">
        <f t="shared" si="10"/>
        <v>0</v>
      </c>
      <c r="I45" s="144">
        <v>1500.0</v>
      </c>
      <c r="J45" s="144">
        <f t="shared" ref="J45:M45" si="39">I45*1.03</f>
        <v>1545</v>
      </c>
      <c r="K45" s="144">
        <f t="shared" si="39"/>
        <v>1591.35</v>
      </c>
      <c r="L45" s="144">
        <f t="shared" si="39"/>
        <v>1639.0905</v>
      </c>
      <c r="M45" s="144">
        <f t="shared" si="39"/>
        <v>1688.263215</v>
      </c>
      <c r="N45" s="4"/>
      <c r="O45" s="108">
        <f t="shared" si="3"/>
        <v>125</v>
      </c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</row>
    <row r="46" ht="15.75" customHeight="1">
      <c r="A46" s="140"/>
      <c r="B46" s="140"/>
      <c r="C46" s="161" t="s">
        <v>194</v>
      </c>
      <c r="D46" s="162">
        <f t="shared" ref="D46:M46" si="40">SUM(D15:D45)</f>
        <v>495582.51</v>
      </c>
      <c r="E46" s="162">
        <f t="shared" si="40"/>
        <v>640708.76</v>
      </c>
      <c r="F46" s="162">
        <f t="shared" si="40"/>
        <v>682984.82</v>
      </c>
      <c r="G46" s="162">
        <f t="shared" si="40"/>
        <v>160680.77</v>
      </c>
      <c r="H46" s="162">
        <f t="shared" si="40"/>
        <v>642723.08</v>
      </c>
      <c r="I46" s="162">
        <f t="shared" si="40"/>
        <v>666645.79</v>
      </c>
      <c r="J46" s="162">
        <f t="shared" si="40"/>
        <v>686645.1637</v>
      </c>
      <c r="K46" s="162">
        <f t="shared" si="40"/>
        <v>707244.5186</v>
      </c>
      <c r="L46" s="162">
        <f t="shared" si="40"/>
        <v>728461.8542</v>
      </c>
      <c r="M46" s="162">
        <f t="shared" si="40"/>
        <v>750315.7098</v>
      </c>
      <c r="N46" s="163">
        <f>I46</f>
        <v>666645.79</v>
      </c>
      <c r="O46" s="108">
        <f t="shared" si="3"/>
        <v>55553.81583</v>
      </c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</row>
    <row r="47" ht="15.75" customHeight="1">
      <c r="A47" s="140"/>
      <c r="B47" s="140"/>
      <c r="C47" s="161" t="s">
        <v>26</v>
      </c>
      <c r="D47" s="162">
        <f t="shared" ref="D47:N47" si="41">D12-D46</f>
        <v>266803.39</v>
      </c>
      <c r="E47" s="162">
        <f t="shared" si="41"/>
        <v>257652.23</v>
      </c>
      <c r="F47" s="162">
        <f t="shared" si="41"/>
        <v>299763.21</v>
      </c>
      <c r="G47" s="162">
        <f t="shared" si="41"/>
        <v>68642.42</v>
      </c>
      <c r="H47" s="162">
        <f t="shared" si="41"/>
        <v>274569.68</v>
      </c>
      <c r="I47" s="162">
        <f t="shared" si="41"/>
        <v>449854.21</v>
      </c>
      <c r="J47" s="162">
        <f t="shared" si="41"/>
        <v>464974.8363</v>
      </c>
      <c r="K47" s="162">
        <f t="shared" si="41"/>
        <v>480889.0814</v>
      </c>
      <c r="L47" s="162">
        <f t="shared" si="41"/>
        <v>497688.7538</v>
      </c>
      <c r="M47" s="162">
        <f t="shared" si="41"/>
        <v>515482.0164</v>
      </c>
      <c r="N47" s="163">
        <f t="shared" si="41"/>
        <v>508154.21</v>
      </c>
      <c r="O47" s="108">
        <f t="shared" si="3"/>
        <v>37487.85083</v>
      </c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</row>
    <row r="48" ht="5.25" customHeight="1">
      <c r="C48" s="16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65"/>
    </row>
    <row r="49" ht="15.75" customHeight="1">
      <c r="N49" s="166">
        <f>N47/'Sources and Uses'!$D$5</f>
        <v>0.1587981906</v>
      </c>
    </row>
    <row r="50" ht="15.75" customHeight="1">
      <c r="N50" s="166">
        <f>I46/(N13*12)</f>
        <v>0.5674547072</v>
      </c>
    </row>
    <row r="51" ht="15.75" customHeight="1">
      <c r="N51" s="167">
        <v>20000.0</v>
      </c>
    </row>
    <row r="52" ht="15.75" customHeight="1">
      <c r="N52" s="168" t="str">
        <f>I52</f>
        <v/>
      </c>
    </row>
    <row r="53" ht="15.75" customHeight="1">
      <c r="N53" s="169">
        <f>N12*0.01</f>
        <v>11748</v>
      </c>
    </row>
    <row r="54" ht="15.75" customHeight="1">
      <c r="N54" s="169">
        <f>N12*$H$54</f>
        <v>0</v>
      </c>
    </row>
    <row r="55" ht="15.75" customHeight="1">
      <c r="N55" s="169">
        <f>N47-N51-N52-N53-N54</f>
        <v>476406.21</v>
      </c>
    </row>
    <row r="56" ht="15.75" customHeight="1">
      <c r="N56" s="170">
        <f>N55/'Sources and Uses'!$G$20</f>
        <v>0.3841985565</v>
      </c>
    </row>
    <row r="57" ht="15.75" customHeight="1">
      <c r="N57" s="100">
        <f>'Sources and Uses'!Q8</f>
        <v>-46189.48802</v>
      </c>
    </row>
    <row r="58" ht="15.75" customHeight="1">
      <c r="N58" s="21" t="str">
        <f>'Sources and Uses'!R9</f>
        <v/>
      </c>
    </row>
    <row r="59" ht="15.75" customHeight="1">
      <c r="N59" s="100">
        <f>N47/0.08</f>
        <v>6351927.625</v>
      </c>
    </row>
    <row r="60" ht="15.75" customHeight="1">
      <c r="N60" s="100">
        <f>N59*0.06</f>
        <v>381115.6575</v>
      </c>
    </row>
    <row r="61" ht="15.75" customHeight="1">
      <c r="N61" s="100">
        <f>N59-N60-N58</f>
        <v>5970811.968</v>
      </c>
    </row>
    <row r="62" ht="15.75" customHeight="1">
      <c r="N62" s="100">
        <f>'Sources and Uses'!$D$13*$D$62</f>
        <v>0</v>
      </c>
    </row>
    <row r="63" ht="15.75" customHeight="1">
      <c r="N63" s="100">
        <f>if((N55-N62)&gt;0,(N55-N62)/2,0)</f>
        <v>238203.105</v>
      </c>
    </row>
    <row r="64" ht="15.75" customHeight="1">
      <c r="N64" s="171">
        <f>N55-N63</f>
        <v>238203.105</v>
      </c>
    </row>
    <row r="65" ht="15.75" customHeight="1">
      <c r="N65" s="125">
        <f>N64/'Sources and Uses'!$D$13</f>
        <v>0.1920992782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1.88"/>
    <col customWidth="1" min="3" max="3" width="25.88"/>
    <col customWidth="1" min="4" max="8" width="12.38"/>
    <col customWidth="1" min="9" max="10" width="23.5"/>
    <col customWidth="1" min="11" max="13" width="12.5"/>
    <col customWidth="1" min="14" max="14" width="17.25"/>
    <col customWidth="1" min="15" max="15" width="15.88"/>
    <col customWidth="1" min="16" max="29" width="12.5"/>
  </cols>
  <sheetData>
    <row r="1" ht="9.75" customHeight="1"/>
    <row r="2" ht="15.75" customHeight="1">
      <c r="C2" s="172" t="s">
        <v>195</v>
      </c>
      <c r="D2" s="133"/>
      <c r="E2" s="133"/>
      <c r="F2" s="133"/>
      <c r="I2" s="1"/>
      <c r="J2" s="173" t="s">
        <v>196</v>
      </c>
      <c r="K2" s="3"/>
      <c r="L2" s="3"/>
      <c r="M2" s="4"/>
      <c r="N2" s="1"/>
      <c r="O2" s="1"/>
    </row>
    <row r="3" ht="15.75" customHeight="1">
      <c r="C3" s="134"/>
      <c r="I3" s="1"/>
      <c r="J3" s="1"/>
      <c r="K3" s="1"/>
      <c r="L3" s="1"/>
      <c r="M3" s="1"/>
      <c r="N3" s="1"/>
      <c r="O3" s="1"/>
    </row>
    <row r="4" ht="15.75" customHeight="1">
      <c r="C4" s="174"/>
      <c r="D4" s="174" t="s">
        <v>72</v>
      </c>
      <c r="E4" s="174" t="s">
        <v>73</v>
      </c>
      <c r="F4" s="174" t="s">
        <v>74</v>
      </c>
      <c r="G4" s="174" t="s">
        <v>75</v>
      </c>
      <c r="H4" s="174" t="s">
        <v>76</v>
      </c>
      <c r="I4" s="1"/>
      <c r="J4" s="174"/>
      <c r="K4" s="174">
        <f>Proforma!D4</f>
        <v>2022</v>
      </c>
      <c r="L4" s="174">
        <f>Proforma!E4</f>
        <v>2023</v>
      </c>
      <c r="M4" s="174">
        <f>Proforma!F4</f>
        <v>2024</v>
      </c>
      <c r="N4" s="174" t="str">
        <f>Proforma!G4</f>
        <v>2025 YTD (march)</v>
      </c>
      <c r="O4" s="174" t="str">
        <f>Proforma!H4</f>
        <v>2025 Annualized</v>
      </c>
    </row>
    <row r="5" ht="15.75" hidden="1" customHeight="1">
      <c r="C5" s="14" t="s">
        <v>10</v>
      </c>
      <c r="D5" s="175">
        <f>166554.6*12</f>
        <v>1998655.2</v>
      </c>
      <c r="E5" s="175">
        <f t="shared" ref="E5:F5" si="1">D5*1.03</f>
        <v>2058614.856</v>
      </c>
      <c r="F5" s="176">
        <f t="shared" si="1"/>
        <v>2120373.302</v>
      </c>
      <c r="G5" s="1"/>
      <c r="H5" s="1"/>
      <c r="I5" s="1"/>
      <c r="J5" s="32"/>
      <c r="K5" s="32"/>
      <c r="L5" s="32"/>
      <c r="M5" s="32"/>
      <c r="N5" s="1"/>
      <c r="O5" s="1"/>
    </row>
    <row r="6" ht="15.75" hidden="1" customHeight="1">
      <c r="C6" s="4" t="s">
        <v>197</v>
      </c>
      <c r="D6" s="19">
        <f t="shared" ref="D6:F6" si="2">D5*-0.086</f>
        <v>-171884.3472</v>
      </c>
      <c r="E6" s="19">
        <f t="shared" si="2"/>
        <v>-177040.8776</v>
      </c>
      <c r="F6" s="19">
        <f t="shared" si="2"/>
        <v>-182352.1039</v>
      </c>
      <c r="G6" s="1"/>
      <c r="H6" s="1"/>
      <c r="I6" s="1"/>
      <c r="J6" s="32"/>
      <c r="K6" s="32"/>
      <c r="L6" s="32"/>
      <c r="M6" s="32"/>
      <c r="N6" s="1"/>
      <c r="O6" s="1"/>
    </row>
    <row r="7" ht="15.75" hidden="1" customHeight="1">
      <c r="C7" s="4" t="s">
        <v>13</v>
      </c>
      <c r="D7" s="19">
        <f t="shared" ref="D7:F7" si="3">2842.28*12</f>
        <v>34107.36</v>
      </c>
      <c r="E7" s="19">
        <f t="shared" si="3"/>
        <v>34107.36</v>
      </c>
      <c r="F7" s="19">
        <f t="shared" si="3"/>
        <v>34107.36</v>
      </c>
      <c r="G7" s="1"/>
      <c r="H7" s="1"/>
      <c r="I7" s="1"/>
      <c r="J7" s="32"/>
      <c r="K7" s="32"/>
      <c r="L7" s="32"/>
      <c r="M7" s="32"/>
      <c r="N7" s="1"/>
      <c r="O7" s="1"/>
    </row>
    <row r="8" ht="15.75" customHeight="1">
      <c r="C8" s="4" t="s">
        <v>15</v>
      </c>
      <c r="D8" s="19">
        <f>Proforma!I12</f>
        <v>1032500</v>
      </c>
      <c r="E8" s="19">
        <f>Proforma!J12</f>
        <v>1065100</v>
      </c>
      <c r="F8" s="19">
        <f>Proforma!K12</f>
        <v>1099018</v>
      </c>
      <c r="G8" s="19">
        <f>Proforma!L12</f>
        <v>1134361.54</v>
      </c>
      <c r="H8" s="19">
        <f>Proforma!M12</f>
        <v>1171254.986</v>
      </c>
      <c r="I8" s="1"/>
      <c r="J8" s="21" t="str">
        <f t="shared" ref="J8:J9" si="4">C8</f>
        <v>Effective Gross Income</v>
      </c>
      <c r="K8" s="32">
        <f>Proforma!D12</f>
        <v>762385.9</v>
      </c>
      <c r="L8" s="32">
        <f>Proforma!E12</f>
        <v>898360.99</v>
      </c>
      <c r="M8" s="32">
        <f>Proforma!F12</f>
        <v>982748.03</v>
      </c>
      <c r="N8" s="32">
        <f>Proforma!G12</f>
        <v>229323.19</v>
      </c>
      <c r="O8" s="32">
        <f>Proforma!H12</f>
        <v>917292.76</v>
      </c>
    </row>
    <row r="9" ht="15.75" customHeight="1">
      <c r="C9" s="4" t="s">
        <v>17</v>
      </c>
      <c r="D9" s="19">
        <f>Proforma!I46</f>
        <v>666645.79</v>
      </c>
      <c r="E9" s="19">
        <f>Proforma!J46</f>
        <v>686645.1637</v>
      </c>
      <c r="F9" s="19">
        <f>Proforma!K46</f>
        <v>707244.5186</v>
      </c>
      <c r="G9" s="19">
        <f>Proforma!L46</f>
        <v>728461.8542</v>
      </c>
      <c r="H9" s="19">
        <f>Proforma!M46</f>
        <v>750315.7098</v>
      </c>
      <c r="I9" s="1"/>
      <c r="J9" s="32" t="str">
        <f t="shared" si="4"/>
        <v>Expenses</v>
      </c>
      <c r="K9" s="32">
        <f>Proforma!D46</f>
        <v>495582.51</v>
      </c>
      <c r="L9" s="32">
        <f>Proforma!E46</f>
        <v>640708.76</v>
      </c>
      <c r="M9" s="32">
        <f>Proforma!F46</f>
        <v>682984.82</v>
      </c>
      <c r="N9" s="32">
        <f>Proforma!G46</f>
        <v>160680.77</v>
      </c>
      <c r="O9" s="32">
        <f>Proforma!H46</f>
        <v>642723.08</v>
      </c>
    </row>
    <row r="10" ht="6.0" customHeight="1">
      <c r="C10" s="4"/>
      <c r="D10" s="32"/>
      <c r="E10" s="32"/>
      <c r="F10" s="32"/>
      <c r="G10" s="32"/>
      <c r="H10" s="32"/>
      <c r="I10" s="1"/>
      <c r="J10" s="32"/>
      <c r="K10" s="32"/>
      <c r="L10" s="32"/>
      <c r="M10" s="32"/>
      <c r="N10" s="32"/>
      <c r="O10" s="32"/>
    </row>
    <row r="11" ht="15.75" customHeight="1">
      <c r="C11" s="177" t="s">
        <v>26</v>
      </c>
      <c r="D11" s="43">
        <f t="shared" ref="D11:H11" si="5">D8-D9</f>
        <v>365854.21</v>
      </c>
      <c r="E11" s="43">
        <f t="shared" si="5"/>
        <v>378454.8363</v>
      </c>
      <c r="F11" s="43">
        <f t="shared" si="5"/>
        <v>391773.4814</v>
      </c>
      <c r="G11" s="43">
        <f t="shared" si="5"/>
        <v>405899.6858</v>
      </c>
      <c r="H11" s="43">
        <f t="shared" si="5"/>
        <v>420939.2764</v>
      </c>
      <c r="I11" s="1"/>
      <c r="J11" s="178" t="str">
        <f>C11</f>
        <v>Net Operating Income</v>
      </c>
      <c r="K11" s="178">
        <f t="shared" ref="K11:O11" si="6">K8-K9</f>
        <v>266803.39</v>
      </c>
      <c r="L11" s="178">
        <f t="shared" si="6"/>
        <v>257652.23</v>
      </c>
      <c r="M11" s="178">
        <f t="shared" si="6"/>
        <v>299763.21</v>
      </c>
      <c r="N11" s="178">
        <f t="shared" si="6"/>
        <v>68642.42</v>
      </c>
      <c r="O11" s="178">
        <f t="shared" si="6"/>
        <v>274569.68</v>
      </c>
    </row>
    <row r="12" ht="5.25" customHeight="1">
      <c r="G12" s="84"/>
      <c r="I12" s="1"/>
      <c r="J12" s="1"/>
      <c r="K12" s="32"/>
      <c r="L12" s="32"/>
      <c r="M12" s="32"/>
      <c r="N12" s="1"/>
      <c r="O12" s="1"/>
    </row>
    <row r="13" ht="15.75" customHeight="1">
      <c r="G13" s="84"/>
      <c r="J13" s="179" t="s">
        <v>198</v>
      </c>
      <c r="K13" s="180"/>
      <c r="L13" s="181"/>
      <c r="M13" s="181"/>
      <c r="N13" s="181"/>
      <c r="O13" s="182"/>
    </row>
    <row r="14" ht="15.75" customHeight="1">
      <c r="G14" s="84"/>
      <c r="J14" s="183" t="s">
        <v>199</v>
      </c>
      <c r="K14" s="21"/>
      <c r="L14" s="21"/>
      <c r="M14" s="21"/>
      <c r="N14" s="21"/>
      <c r="O14" s="184"/>
    </row>
    <row r="15" ht="15.75" customHeight="1">
      <c r="G15" s="84"/>
      <c r="H15" s="84"/>
      <c r="J15" s="185" t="s">
        <v>200</v>
      </c>
      <c r="K15" s="21"/>
      <c r="L15" s="21"/>
      <c r="M15" s="21"/>
      <c r="N15" s="21"/>
      <c r="O15" s="186"/>
    </row>
    <row r="16" ht="15.75" customHeight="1">
      <c r="G16" s="84"/>
      <c r="H16" s="84"/>
      <c r="J16" s="185" t="s">
        <v>201</v>
      </c>
      <c r="K16" s="21"/>
      <c r="L16" s="21"/>
      <c r="M16" s="21"/>
      <c r="N16" s="21"/>
      <c r="O16" s="187"/>
    </row>
    <row r="17" ht="15.75" customHeight="1">
      <c r="G17" s="84"/>
      <c r="H17" s="84"/>
      <c r="J17" s="185" t="s">
        <v>202</v>
      </c>
      <c r="K17" s="21"/>
      <c r="L17" s="21"/>
      <c r="M17" s="21"/>
      <c r="N17" s="21"/>
      <c r="O17" s="187"/>
    </row>
    <row r="18" ht="15.75" customHeight="1">
      <c r="G18" s="84"/>
      <c r="H18" s="84"/>
      <c r="J18" s="185" t="s">
        <v>203</v>
      </c>
      <c r="K18" s="21"/>
      <c r="L18" s="21"/>
      <c r="M18" s="21"/>
      <c r="N18" s="21"/>
      <c r="O18" s="187"/>
    </row>
    <row r="19" ht="15.75" customHeight="1">
      <c r="G19" s="84"/>
      <c r="H19" s="84"/>
      <c r="J19" s="185" t="s">
        <v>204</v>
      </c>
      <c r="K19" s="21"/>
      <c r="L19" s="21"/>
      <c r="M19" s="21"/>
      <c r="N19" s="21"/>
      <c r="O19" s="187"/>
    </row>
    <row r="20" ht="15.75" customHeight="1">
      <c r="G20" s="84"/>
      <c r="H20" s="84"/>
      <c r="J20" s="185" t="s">
        <v>205</v>
      </c>
      <c r="K20" s="21"/>
      <c r="L20" s="21"/>
      <c r="M20" s="21"/>
      <c r="N20" s="21"/>
      <c r="O20" s="187"/>
    </row>
    <row r="21" ht="15.75" customHeight="1">
      <c r="G21" s="84"/>
      <c r="H21" s="84"/>
      <c r="J21" s="188" t="s">
        <v>206</v>
      </c>
      <c r="K21" s="50"/>
      <c r="L21" s="50"/>
      <c r="M21" s="50"/>
      <c r="N21" s="50"/>
      <c r="O21" s="189"/>
    </row>
    <row r="22" ht="15.75" customHeight="1">
      <c r="G22" s="84"/>
      <c r="H22" s="84"/>
      <c r="I22" s="4"/>
      <c r="J22" s="4"/>
      <c r="K22" s="21"/>
      <c r="L22" s="21"/>
      <c r="M22" s="21"/>
      <c r="N22" s="21"/>
      <c r="O22" s="4"/>
    </row>
    <row r="23" ht="15.75" customHeight="1">
      <c r="G23" s="84"/>
      <c r="H23" s="84"/>
      <c r="I23" s="4"/>
      <c r="J23" s="4"/>
      <c r="K23" s="21"/>
      <c r="L23" s="21"/>
      <c r="M23" s="21"/>
      <c r="N23" s="21"/>
      <c r="O23" s="4"/>
    </row>
    <row r="24" ht="15.75" customHeight="1">
      <c r="I24" s="1"/>
      <c r="J24" s="32"/>
      <c r="K24" s="32"/>
      <c r="L24" s="32"/>
      <c r="M24" s="1"/>
      <c r="N24" s="1"/>
      <c r="O24" s="1"/>
    </row>
    <row r="25" ht="15.75" customHeight="1"/>
    <row r="26" ht="15.75" customHeight="1">
      <c r="K26" s="160"/>
      <c r="L26" s="160"/>
      <c r="M26" s="16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2.75"/>
    <col customWidth="1" min="3" max="3" width="11.5"/>
    <col customWidth="1" min="4" max="4" width="8.63"/>
    <col customWidth="1" min="5" max="5" width="35.75"/>
    <col customWidth="1" min="6" max="26" width="8.63"/>
  </cols>
  <sheetData>
    <row r="1" ht="12.0" customHeight="1">
      <c r="A1" s="1"/>
      <c r="B1" s="1"/>
      <c r="C1" s="190"/>
      <c r="D1" s="1" t="s">
        <v>207</v>
      </c>
      <c r="E1" s="1" t="s">
        <v>208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 t="s">
        <v>209</v>
      </c>
      <c r="B2" s="1" t="s">
        <v>210</v>
      </c>
      <c r="C2" s="19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 t="s">
        <v>211</v>
      </c>
      <c r="B3" s="1"/>
      <c r="C3" s="19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 t="s">
        <v>212</v>
      </c>
      <c r="B4" s="1"/>
      <c r="C4" s="19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 t="s">
        <v>213</v>
      </c>
      <c r="B5" s="1"/>
      <c r="C5" s="19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1"/>
      <c r="C6" s="19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1"/>
      <c r="C7" s="19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"/>
      <c r="B8" s="1"/>
      <c r="C8" s="19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1"/>
      <c r="B9" s="1"/>
      <c r="C9" s="19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1"/>
      <c r="B10" s="1"/>
      <c r="C10" s="190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1"/>
      <c r="C11" s="190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1"/>
      <c r="C12" s="190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1"/>
      <c r="C13" s="190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1"/>
      <c r="C14" s="190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1"/>
      <c r="C15" s="19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1"/>
      <c r="C16" s="19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1"/>
      <c r="C17" s="19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1"/>
      <c r="C18" s="19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1"/>
      <c r="C19" s="19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"/>
      <c r="C20" s="19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"/>
      <c r="C21" s="19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"/>
      <c r="C22" s="19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"/>
      <c r="C23" s="19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"/>
      <c r="C24" s="19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"/>
      <c r="C25" s="19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"/>
      <c r="C26" s="19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"/>
      <c r="C27" s="19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"/>
      <c r="C28" s="19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"/>
      <c r="C29" s="19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"/>
      <c r="C30" s="19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9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9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9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9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9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9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9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9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9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9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9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9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9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9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9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9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9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9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9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9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9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9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9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9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9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9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9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9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9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9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9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9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9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9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9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9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9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9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9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9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9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9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9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9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9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9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9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9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9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9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9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9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9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9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9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9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9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9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9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9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9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9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9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9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9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9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9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9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9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9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9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9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9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9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9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9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9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9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9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9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9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9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9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9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9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9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9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9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9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9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9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9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9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9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9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9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9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9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9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9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9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9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9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9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9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9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9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9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9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9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9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9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9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9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90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9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90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9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9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9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9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9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9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9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9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9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9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9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9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9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9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9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9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9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9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9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9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9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90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9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9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9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9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9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90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90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9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90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90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90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90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90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90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90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90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90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90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90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9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9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90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90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90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90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90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90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9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9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9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9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9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9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9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9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9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9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9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9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9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9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9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9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9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9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9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9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9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9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9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9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9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9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9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9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9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9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9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9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9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9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9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9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9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90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90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90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90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90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90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90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90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90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90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90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90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90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90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90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90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90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90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90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90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90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90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90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90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90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90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90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90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90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90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90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90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90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90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90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90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90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90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90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90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90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90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90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90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90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90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90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90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90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90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90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90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90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90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90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90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90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90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90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90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90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90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90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90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90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90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90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90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90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90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90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90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90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90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90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90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90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90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90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90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90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90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90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90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90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90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90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90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90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90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90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90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90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90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90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90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90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90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90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90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90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90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90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90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90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90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90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90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90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90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90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90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90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90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90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90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90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90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90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90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90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90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90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90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90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90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90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90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90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90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90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90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90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90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90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90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90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90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90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90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90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90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90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90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90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90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90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90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90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90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90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90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90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90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90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90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90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90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90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90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90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90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90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90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90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90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90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90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90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90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90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90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90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90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90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90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90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90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90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90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90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90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90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90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90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90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90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90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90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90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90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90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90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90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90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90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90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90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90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90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90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90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90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90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90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90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90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90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90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90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90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90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90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90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90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90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90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90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90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90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90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90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90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90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90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90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90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90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90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90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90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90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90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90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90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90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90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90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90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90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90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90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90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90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90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90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90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90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90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90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90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90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90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90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90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90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90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90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90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90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90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90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90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90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90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90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90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90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90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90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90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90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90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90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90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90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90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90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90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90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90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90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90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90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90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90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90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90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90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90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90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90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90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90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90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90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90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90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90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90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90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90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90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90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90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90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90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90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90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90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90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90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90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90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90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90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90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90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90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90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90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90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90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90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90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90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90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90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90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90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90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90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90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90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90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90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90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90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90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90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90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90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90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90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90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90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90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90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90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90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90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90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90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90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90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90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90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90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90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90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90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90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90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90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90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90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90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90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90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90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90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90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90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90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90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90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90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90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90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90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90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90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90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90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90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90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90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90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90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90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90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90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90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90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90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90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90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90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90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90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90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90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90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90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90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90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90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90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90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90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90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90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90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90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90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90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90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90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90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90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90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90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90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90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90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90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90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90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90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90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90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90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90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90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90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90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90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90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90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90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90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90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90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90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90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90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90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90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90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90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90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90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90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90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90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90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90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90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90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90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90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90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90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90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90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90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90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90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90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90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90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90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90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90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90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90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90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90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90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90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90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90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90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90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90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90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90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90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90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90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90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90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90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90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90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90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90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90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90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90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90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90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90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90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90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90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90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90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90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90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90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90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90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90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90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90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90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90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90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90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90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90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90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90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90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90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90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90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90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90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90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90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90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90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90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90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90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90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90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90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90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90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90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90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90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90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90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90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90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90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90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90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90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90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90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90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90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90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90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90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90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90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90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90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90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90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90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90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90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90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90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90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90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90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90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90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90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90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90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90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90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90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90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90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90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90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90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90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90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90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90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90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90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90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90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90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90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90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90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90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90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90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90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90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90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90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90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90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90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90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90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90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90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90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90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90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90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90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90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90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90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90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90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90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90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90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90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90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90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90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90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90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90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90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90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90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90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90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90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90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90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90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90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90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90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90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90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90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90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90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90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90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90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90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90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90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90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90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90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90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90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90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90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90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90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90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90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90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90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90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90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90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90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90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90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90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90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90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90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90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90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90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90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90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90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90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90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90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90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90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90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90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90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90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90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90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90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90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90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90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90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90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90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90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90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90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90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90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90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90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90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90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90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90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90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90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90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90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90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90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90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90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90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90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90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90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90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90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90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90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90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90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90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90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90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90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90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90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90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90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90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90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90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90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90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90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90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90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90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90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90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90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90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90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90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90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90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90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90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90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90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90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90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90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90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90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90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2.5"/>
    <col customWidth="1" min="3" max="3" width="52.25"/>
    <col customWidth="1" min="4" max="4" width="17.75"/>
    <col customWidth="1" min="5" max="5" width="12.25"/>
    <col customWidth="1" min="6" max="6" width="29.88"/>
    <col customWidth="1" min="7" max="26" width="12.5"/>
  </cols>
  <sheetData>
    <row r="1" ht="15.75" customHeight="1">
      <c r="A1" s="191" t="s">
        <v>214</v>
      </c>
      <c r="B1" s="192" t="s">
        <v>67</v>
      </c>
      <c r="C1" s="193" t="s">
        <v>215</v>
      </c>
      <c r="D1" s="193" t="s">
        <v>216</v>
      </c>
      <c r="E1" s="194" t="s">
        <v>108</v>
      </c>
      <c r="F1" s="194" t="s">
        <v>217</v>
      </c>
      <c r="G1" s="194" t="s">
        <v>218</v>
      </c>
      <c r="H1" s="194" t="s">
        <v>219</v>
      </c>
      <c r="I1" s="194" t="s">
        <v>220</v>
      </c>
      <c r="J1" s="194" t="s">
        <v>221</v>
      </c>
      <c r="K1" s="19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4"/>
      <c r="B2" s="21"/>
      <c r="C2" s="196"/>
      <c r="D2" s="197" t="str">
        <f t="shared" ref="D2:D12" si="1">E2*0.1</f>
        <v>#DIV/0!</v>
      </c>
      <c r="E2" s="48" t="str">
        <f t="shared" ref="E2:E12" si="2">B2/$B$15</f>
        <v>#DIV/0!</v>
      </c>
      <c r="F2" s="4"/>
      <c r="G2" s="1"/>
      <c r="H2" s="4"/>
      <c r="I2" s="4"/>
      <c r="J2" s="4"/>
      <c r="K2" s="13"/>
      <c r="L2" s="19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99"/>
      <c r="B3" s="200"/>
      <c r="C3" s="196"/>
      <c r="D3" s="197" t="str">
        <f t="shared" si="1"/>
        <v>#DIV/0!</v>
      </c>
      <c r="E3" s="48" t="str">
        <f t="shared" si="2"/>
        <v>#DIV/0!</v>
      </c>
      <c r="F3" s="4"/>
      <c r="G3" s="1"/>
      <c r="H3" s="4"/>
      <c r="I3" s="4"/>
      <c r="J3" s="4"/>
      <c r="K3" s="13"/>
      <c r="L3" s="198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</row>
    <row r="4" ht="15.75" customHeight="1">
      <c r="A4" s="199"/>
      <c r="B4" s="200"/>
      <c r="C4" s="196"/>
      <c r="D4" s="197" t="str">
        <f t="shared" si="1"/>
        <v>#DIV/0!</v>
      </c>
      <c r="E4" s="48" t="str">
        <f t="shared" si="2"/>
        <v>#DIV/0!</v>
      </c>
      <c r="F4" s="4"/>
      <c r="G4" s="1"/>
      <c r="H4" s="4"/>
      <c r="I4" s="4"/>
      <c r="J4" s="4"/>
      <c r="K4" s="13"/>
      <c r="L4" s="198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</row>
    <row r="5" ht="15.75" customHeight="1">
      <c r="A5" s="4"/>
      <c r="B5" s="21"/>
      <c r="C5" s="196"/>
      <c r="D5" s="197" t="str">
        <f t="shared" si="1"/>
        <v>#DIV/0!</v>
      </c>
      <c r="E5" s="48" t="str">
        <f t="shared" si="2"/>
        <v>#DIV/0!</v>
      </c>
      <c r="F5" s="4"/>
      <c r="G5" s="1"/>
      <c r="H5" s="4"/>
      <c r="I5" s="4"/>
      <c r="J5" s="1"/>
      <c r="K5" s="13"/>
      <c r="L5" s="19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4"/>
      <c r="B6" s="21"/>
      <c r="C6" s="196"/>
      <c r="D6" s="197" t="str">
        <f t="shared" si="1"/>
        <v>#DIV/0!</v>
      </c>
      <c r="E6" s="48" t="str">
        <f t="shared" si="2"/>
        <v>#DIV/0!</v>
      </c>
      <c r="F6" s="4"/>
      <c r="G6" s="1"/>
      <c r="H6" s="4"/>
      <c r="I6" s="4"/>
      <c r="J6" s="4"/>
      <c r="K6" s="13"/>
      <c r="L6" s="19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99"/>
      <c r="B7" s="200"/>
      <c r="C7" s="196"/>
      <c r="D7" s="197" t="str">
        <f t="shared" si="1"/>
        <v>#DIV/0!</v>
      </c>
      <c r="E7" s="48" t="str">
        <f t="shared" si="2"/>
        <v>#DIV/0!</v>
      </c>
      <c r="F7" s="4"/>
      <c r="G7" s="1"/>
      <c r="H7" s="4"/>
      <c r="I7" s="4"/>
      <c r="J7" s="4"/>
      <c r="K7" s="13"/>
      <c r="L7" s="198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</row>
    <row r="8" ht="15.75" customHeight="1">
      <c r="A8" s="4"/>
      <c r="B8" s="21"/>
      <c r="C8" s="196"/>
      <c r="D8" s="197" t="str">
        <f t="shared" si="1"/>
        <v>#DIV/0!</v>
      </c>
      <c r="E8" s="48" t="str">
        <f t="shared" si="2"/>
        <v>#DIV/0!</v>
      </c>
      <c r="F8" s="4"/>
      <c r="G8" s="1"/>
      <c r="H8" s="4"/>
      <c r="I8" s="4"/>
      <c r="J8" s="4"/>
      <c r="K8" s="13"/>
      <c r="L8" s="198"/>
      <c r="M8" s="19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99"/>
      <c r="B9" s="200"/>
      <c r="C9" s="196"/>
      <c r="D9" s="197" t="str">
        <f t="shared" si="1"/>
        <v>#DIV/0!</v>
      </c>
      <c r="E9" s="48" t="str">
        <f t="shared" si="2"/>
        <v>#DIV/0!</v>
      </c>
      <c r="F9" s="4"/>
      <c r="G9" s="1"/>
      <c r="H9" s="4"/>
      <c r="I9" s="4"/>
      <c r="J9" s="4"/>
      <c r="K9" s="13"/>
      <c r="L9" s="198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</row>
    <row r="10" ht="15.75" customHeight="1">
      <c r="A10" s="199"/>
      <c r="B10" s="200"/>
      <c r="C10" s="196"/>
      <c r="D10" s="197" t="str">
        <f t="shared" si="1"/>
        <v>#DIV/0!</v>
      </c>
      <c r="E10" s="48" t="str">
        <f t="shared" si="2"/>
        <v>#DIV/0!</v>
      </c>
      <c r="F10" s="4"/>
      <c r="G10" s="1"/>
      <c r="H10" s="4"/>
      <c r="I10" s="4"/>
      <c r="J10" s="4"/>
      <c r="K10" s="13"/>
      <c r="L10" s="198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</row>
    <row r="11" ht="15.75" customHeight="1">
      <c r="A11" s="1"/>
      <c r="B11" s="21"/>
      <c r="C11" s="196"/>
      <c r="D11" s="197" t="str">
        <f t="shared" si="1"/>
        <v>#DIV/0!</v>
      </c>
      <c r="E11" s="48" t="str">
        <f t="shared" si="2"/>
        <v>#DIV/0!</v>
      </c>
      <c r="F11" s="4"/>
      <c r="G11" s="1"/>
      <c r="H11" s="4"/>
      <c r="I11" s="4"/>
      <c r="J11" s="1"/>
      <c r="K11" s="13"/>
      <c r="L11" s="198"/>
      <c r="M11" s="19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01"/>
      <c r="B12" s="202"/>
      <c r="C12" s="196"/>
      <c r="D12" s="197" t="str">
        <f t="shared" si="1"/>
        <v>#DIV/0!</v>
      </c>
      <c r="E12" s="48" t="str">
        <f t="shared" si="2"/>
        <v>#DIV/0!</v>
      </c>
      <c r="F12" s="203"/>
      <c r="G12" s="203"/>
      <c r="H12" s="4"/>
      <c r="I12" s="4"/>
      <c r="J12" s="4"/>
      <c r="K12" s="13"/>
      <c r="L12" s="198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</row>
    <row r="13" ht="15.75" customHeight="1">
      <c r="A13" s="1"/>
      <c r="B13" s="21"/>
      <c r="C13" s="196"/>
      <c r="D13" s="204">
        <v>0.45</v>
      </c>
      <c r="E13" s="1"/>
      <c r="F13" s="1"/>
      <c r="G13" s="1"/>
      <c r="H13" s="1"/>
      <c r="I13" s="1"/>
      <c r="J13" s="1"/>
      <c r="K13" s="13"/>
      <c r="L13" s="1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03"/>
      <c r="B14" s="50"/>
      <c r="C14" s="196"/>
      <c r="D14" s="204">
        <v>0.45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03" t="s">
        <v>21</v>
      </c>
      <c r="B15" s="205">
        <f>SUM(B2:B14)</f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4" t="s">
        <v>32</v>
      </c>
      <c r="B16" s="2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2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2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hidden="1" customHeight="1">
      <c r="A19" s="206" t="s">
        <v>222</v>
      </c>
      <c r="B19" s="21"/>
      <c r="C19" s="4" t="s">
        <v>223</v>
      </c>
      <c r="D19" s="4"/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hidden="1" customHeight="1">
      <c r="A20" s="4" t="s">
        <v>224</v>
      </c>
      <c r="B20" s="21" t="s">
        <v>225</v>
      </c>
      <c r="C20" s="207">
        <v>45222.0</v>
      </c>
      <c r="D20" s="63"/>
      <c r="E20" s="6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hidden="1" customHeight="1">
      <c r="A21" s="4"/>
      <c r="B21" s="2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hidden="1" customHeight="1">
      <c r="A22" s="1"/>
      <c r="B22" s="1"/>
      <c r="C22" s="63"/>
      <c r="D22" s="63"/>
      <c r="E22" s="6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hidden="1" customHeight="1">
      <c r="A23" s="4" t="s">
        <v>226</v>
      </c>
      <c r="B23" s="21" t="s">
        <v>225</v>
      </c>
      <c r="C23" s="207">
        <v>45222.0</v>
      </c>
      <c r="D23" s="63"/>
      <c r="E23" s="6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hidden="1" customHeight="1">
      <c r="A24" s="4" t="s">
        <v>227</v>
      </c>
      <c r="B24" s="1" t="s">
        <v>225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hidden="1" customHeight="1">
      <c r="A25" s="4" t="s">
        <v>228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hidden="1" customHeight="1">
      <c r="A26" s="4"/>
      <c r="B26" s="2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hidden="1" customHeight="1">
      <c r="A27" s="4" t="s">
        <v>229</v>
      </c>
      <c r="B27" s="2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hidden="1" customHeight="1">
      <c r="A28" s="4" t="s">
        <v>230</v>
      </c>
      <c r="B28" s="2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hidden="1" customHeight="1">
      <c r="A29" s="4" t="s">
        <v>231</v>
      </c>
      <c r="B29" s="1" t="s">
        <v>225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hidden="1" customHeight="1">
      <c r="A30" s="4" t="s">
        <v>232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hidden="1" customHeight="1">
      <c r="A31" s="4" t="s">
        <v>233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hidden="1" customHeight="1">
      <c r="A32" s="4" t="s">
        <v>234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hidden="1" customHeight="1">
      <c r="A33" s="4" t="s">
        <v>235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hidden="1" customHeight="1">
      <c r="A34" s="4" t="s">
        <v>236</v>
      </c>
      <c r="B34" s="2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hidden="1" customHeight="1">
      <c r="A35" s="4" t="s">
        <v>237</v>
      </c>
      <c r="B35" s="2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hidden="1" customHeight="1">
      <c r="A36" s="4" t="s">
        <v>238</v>
      </c>
      <c r="B36" s="2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hidden="1" customHeight="1">
      <c r="A37" s="4" t="s">
        <v>239</v>
      </c>
      <c r="B37" s="2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hidden="1" customHeight="1">
      <c r="A38" s="4" t="s">
        <v>240</v>
      </c>
      <c r="B38" s="2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hidden="1" customHeight="1">
      <c r="A39" s="4" t="s">
        <v>241</v>
      </c>
      <c r="B39" s="21" t="s">
        <v>242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hidden="1" customHeight="1">
      <c r="A40" s="4" t="s">
        <v>243</v>
      </c>
      <c r="B40" s="21" t="s">
        <v>242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hidden="1" customHeight="1">
      <c r="A41" s="4" t="s">
        <v>244</v>
      </c>
      <c r="B41" s="21" t="s">
        <v>242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hidden="1" customHeight="1">
      <c r="A42" s="4" t="s">
        <v>245</v>
      </c>
      <c r="B42" s="21" t="s">
        <v>242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hidden="1" customHeight="1">
      <c r="A43" s="4" t="s">
        <v>246</v>
      </c>
      <c r="B43" s="21" t="s">
        <v>242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hidden="1" customHeight="1">
      <c r="A44" s="4" t="s">
        <v>247</v>
      </c>
      <c r="B44" s="21" t="s">
        <v>242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hidden="1" customHeight="1">
      <c r="A45" s="4" t="s">
        <v>248</v>
      </c>
      <c r="B45" s="21" t="s">
        <v>242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hidden="1" customHeight="1">
      <c r="A46" s="4" t="s">
        <v>249</v>
      </c>
      <c r="B46" s="21" t="s">
        <v>242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hidden="1" customHeight="1">
      <c r="A47" s="4" t="s">
        <v>250</v>
      </c>
      <c r="B47" s="21" t="s">
        <v>242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hidden="1" customHeight="1">
      <c r="A48" s="4" t="s">
        <v>251</v>
      </c>
      <c r="B48" s="21" t="s">
        <v>242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hidden="1" customHeight="1">
      <c r="A49" s="4" t="s">
        <v>252</v>
      </c>
      <c r="B49" s="21" t="s">
        <v>242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hidden="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hidden="1" customHeight="1">
      <c r="A51" s="206" t="s">
        <v>253</v>
      </c>
      <c r="B51" s="2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hidden="1" customHeight="1">
      <c r="A52" s="4"/>
      <c r="B52" s="2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hidden="1" customHeight="1">
      <c r="A53" s="4"/>
      <c r="B53" s="2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hidden="1" customHeight="1">
      <c r="A54" s="4"/>
      <c r="B54" s="2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hidden="1" customHeight="1">
      <c r="A55" s="4" t="s">
        <v>254</v>
      </c>
      <c r="B55" s="2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hidden="1" customHeight="1">
      <c r="A56" s="4" t="s">
        <v>255</v>
      </c>
      <c r="B56" s="2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2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2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4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2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2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2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2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2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:$J$16"/>
  <printOptions/>
  <pageMargins bottom="0.0" footer="0.0" header="0.0" left="0.0" right="0.0" top="0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1.88"/>
    <col customWidth="1" min="3" max="3" width="42.25"/>
    <col customWidth="1" min="4" max="7" width="12.5"/>
    <col customWidth="1" min="8" max="8" width="14.88"/>
    <col customWidth="1" min="9" max="13" width="12.25"/>
    <col customWidth="1" min="14" max="14" width="12.5"/>
    <col customWidth="1" min="15" max="15" width="34.13"/>
    <col customWidth="1" min="16" max="26" width="12.5"/>
  </cols>
  <sheetData>
    <row r="1" ht="9.75" customHeight="1"/>
    <row r="2" ht="15.75" customHeight="1">
      <c r="C2" s="70" t="s">
        <v>148</v>
      </c>
      <c r="D2" s="133"/>
      <c r="E2" s="133"/>
      <c r="F2" s="133"/>
      <c r="G2" s="133"/>
      <c r="H2" s="133"/>
      <c r="I2" s="133"/>
      <c r="J2" s="133"/>
      <c r="K2" s="133"/>
      <c r="L2" s="133"/>
      <c r="M2" s="133"/>
    </row>
    <row r="3" ht="15.75" customHeight="1">
      <c r="C3" s="134"/>
    </row>
    <row r="4" ht="15.75" customHeight="1">
      <c r="C4" s="135" t="s">
        <v>149</v>
      </c>
      <c r="D4" s="136">
        <v>2022.0</v>
      </c>
      <c r="E4" s="136">
        <v>2023.0</v>
      </c>
      <c r="F4" s="136">
        <v>2024.0</v>
      </c>
      <c r="G4" s="137" t="s">
        <v>150</v>
      </c>
      <c r="H4" s="136" t="s">
        <v>151</v>
      </c>
      <c r="I4" s="136" t="s">
        <v>152</v>
      </c>
      <c r="J4" s="136" t="s">
        <v>153</v>
      </c>
      <c r="K4" s="136" t="s">
        <v>154</v>
      </c>
      <c r="L4" s="136" t="s">
        <v>155</v>
      </c>
      <c r="M4" s="136" t="s">
        <v>156</v>
      </c>
    </row>
    <row r="5" ht="15.75" customHeight="1">
      <c r="C5" s="138" t="s">
        <v>157</v>
      </c>
      <c r="D5" s="139"/>
      <c r="E5" s="139"/>
      <c r="F5" s="139"/>
      <c r="G5" s="139"/>
      <c r="H5" s="139"/>
      <c r="I5" s="139">
        <f>5000*20*12</f>
        <v>1200000</v>
      </c>
      <c r="J5" s="139">
        <f t="shared" ref="J5:M5" si="1">I5*1.03</f>
        <v>1236000</v>
      </c>
      <c r="K5" s="139">
        <f t="shared" si="1"/>
        <v>1273080</v>
      </c>
      <c r="L5" s="139">
        <f t="shared" si="1"/>
        <v>1311272.4</v>
      </c>
      <c r="M5" s="139">
        <f t="shared" si="1"/>
        <v>1350610.572</v>
      </c>
    </row>
    <row r="6" ht="15.75" customHeight="1">
      <c r="C6" s="138" t="s">
        <v>11</v>
      </c>
      <c r="D6" s="139"/>
      <c r="E6" s="139"/>
      <c r="F6" s="139"/>
      <c r="G6" s="139"/>
      <c r="H6" s="139"/>
      <c r="I6" s="139">
        <f t="shared" ref="I6:M6" si="2">-I5*0.15</f>
        <v>-180000</v>
      </c>
      <c r="J6" s="139">
        <f t="shared" si="2"/>
        <v>-185400</v>
      </c>
      <c r="K6" s="139">
        <f t="shared" si="2"/>
        <v>-190962</v>
      </c>
      <c r="L6" s="139">
        <f t="shared" si="2"/>
        <v>-196690.86</v>
      </c>
      <c r="M6" s="139">
        <f t="shared" si="2"/>
        <v>-202591.5858</v>
      </c>
    </row>
    <row r="7" ht="15.75" customHeight="1">
      <c r="A7" s="140"/>
      <c r="B7" s="140"/>
      <c r="C7" s="141" t="s">
        <v>158</v>
      </c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</row>
    <row r="8" ht="15.75" customHeight="1">
      <c r="A8" s="140"/>
      <c r="B8" s="140"/>
      <c r="C8" s="143" t="s">
        <v>159</v>
      </c>
      <c r="D8" s="144"/>
      <c r="E8" s="144"/>
      <c r="F8" s="144"/>
      <c r="G8" s="144"/>
      <c r="H8" s="144"/>
      <c r="I8" s="144">
        <v>5000.0</v>
      </c>
      <c r="J8" s="144">
        <f t="shared" ref="J8:M8" si="3">I8*1.2</f>
        <v>6000</v>
      </c>
      <c r="K8" s="144">
        <f t="shared" si="3"/>
        <v>7200</v>
      </c>
      <c r="L8" s="144">
        <f t="shared" si="3"/>
        <v>8640</v>
      </c>
      <c r="M8" s="144">
        <f t="shared" si="3"/>
        <v>10368</v>
      </c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ht="15.75" customHeight="1">
      <c r="A9" s="140"/>
      <c r="B9" s="140"/>
      <c r="C9" s="143" t="s">
        <v>13</v>
      </c>
      <c r="D9" s="144"/>
      <c r="E9" s="144"/>
      <c r="F9" s="144"/>
      <c r="G9" s="144"/>
      <c r="H9" s="144"/>
      <c r="I9" s="144">
        <v>2500.0</v>
      </c>
      <c r="J9" s="144">
        <f t="shared" ref="J9:M9" si="4">I9</f>
        <v>2500</v>
      </c>
      <c r="K9" s="144">
        <f t="shared" si="4"/>
        <v>2500</v>
      </c>
      <c r="L9" s="144">
        <f t="shared" si="4"/>
        <v>2500</v>
      </c>
      <c r="M9" s="144">
        <f t="shared" si="4"/>
        <v>2500</v>
      </c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 ht="15.75" customHeight="1">
      <c r="A10" s="140"/>
      <c r="B10" s="140"/>
      <c r="C10" s="143" t="s">
        <v>160</v>
      </c>
      <c r="D10" s="145">
        <v>762385.9</v>
      </c>
      <c r="E10" s="145">
        <v>898360.99</v>
      </c>
      <c r="F10" s="145">
        <v>982748.03</v>
      </c>
      <c r="G10" s="146">
        <v>229323.19</v>
      </c>
      <c r="H10" s="144">
        <f>G10*4</f>
        <v>917292.76</v>
      </c>
      <c r="I10" s="144">
        <f t="shared" ref="I10:M10" si="5">I5+I6</f>
        <v>1020000</v>
      </c>
      <c r="J10" s="144">
        <f t="shared" si="5"/>
        <v>1050600</v>
      </c>
      <c r="K10" s="144">
        <f t="shared" si="5"/>
        <v>1082118</v>
      </c>
      <c r="L10" s="144">
        <f t="shared" si="5"/>
        <v>1114581.54</v>
      </c>
      <c r="M10" s="144">
        <f t="shared" si="5"/>
        <v>1148018.986</v>
      </c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</row>
    <row r="11" ht="15.75" customHeight="1">
      <c r="A11" s="140"/>
      <c r="B11" s="140"/>
      <c r="C11" s="143" t="s">
        <v>161</v>
      </c>
      <c r="D11" s="144"/>
      <c r="E11" s="144"/>
      <c r="F11" s="144"/>
      <c r="G11" s="144"/>
      <c r="H11" s="144"/>
      <c r="I11" s="144">
        <v>5000.0</v>
      </c>
      <c r="J11" s="144">
        <f t="shared" ref="J11:M11" si="6">I11*1.2</f>
        <v>6000</v>
      </c>
      <c r="K11" s="144">
        <f t="shared" si="6"/>
        <v>7200</v>
      </c>
      <c r="L11" s="144">
        <f t="shared" si="6"/>
        <v>8640</v>
      </c>
      <c r="M11" s="144">
        <f t="shared" si="6"/>
        <v>10368</v>
      </c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 ht="15.75" customHeight="1">
      <c r="A12" s="140"/>
      <c r="B12" s="140"/>
      <c r="C12" s="141" t="s">
        <v>162</v>
      </c>
      <c r="D12" s="147">
        <f t="shared" ref="D12:M12" si="7">SUM(D8:D11)</f>
        <v>762385.9</v>
      </c>
      <c r="E12" s="147">
        <f t="shared" si="7"/>
        <v>898360.99</v>
      </c>
      <c r="F12" s="147">
        <f t="shared" si="7"/>
        <v>982748.03</v>
      </c>
      <c r="G12" s="147">
        <f t="shared" si="7"/>
        <v>229323.19</v>
      </c>
      <c r="H12" s="147">
        <f t="shared" si="7"/>
        <v>917292.76</v>
      </c>
      <c r="I12" s="147">
        <f t="shared" si="7"/>
        <v>1032500</v>
      </c>
      <c r="J12" s="147">
        <f t="shared" si="7"/>
        <v>1065100</v>
      </c>
      <c r="K12" s="147">
        <f t="shared" si="7"/>
        <v>1099018</v>
      </c>
      <c r="L12" s="147">
        <f t="shared" si="7"/>
        <v>1134361.54</v>
      </c>
      <c r="M12" s="147">
        <f t="shared" si="7"/>
        <v>1171254.986</v>
      </c>
      <c r="N12" s="140"/>
      <c r="O12" s="140">
        <f>I12*0.05</f>
        <v>51625</v>
      </c>
      <c r="P12" s="140">
        <f>55*4000</f>
        <v>220000</v>
      </c>
      <c r="Q12" s="140">
        <f>P12*12</f>
        <v>2640000</v>
      </c>
      <c r="R12" s="140">
        <f>Q12*0.95</f>
        <v>2508000</v>
      </c>
      <c r="S12" s="140">
        <f>R12*0.05</f>
        <v>125400</v>
      </c>
      <c r="T12" s="140"/>
      <c r="U12" s="140"/>
      <c r="V12" s="140"/>
      <c r="W12" s="140"/>
      <c r="X12" s="140"/>
      <c r="Y12" s="140"/>
      <c r="Z12" s="140"/>
    </row>
    <row r="13" ht="15.75" customHeight="1">
      <c r="A13" s="140"/>
      <c r="B13" s="140"/>
      <c r="C13" s="148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</row>
    <row r="14" ht="15.75" customHeight="1">
      <c r="A14" s="140"/>
      <c r="B14" s="140"/>
      <c r="C14" s="141" t="s">
        <v>17</v>
      </c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 ht="15.75" customHeight="1">
      <c r="A15" s="140"/>
      <c r="B15" s="140"/>
      <c r="C15" s="150" t="s">
        <v>163</v>
      </c>
      <c r="D15" s="151" t="s">
        <v>164</v>
      </c>
      <c r="E15" s="152">
        <v>1200.0</v>
      </c>
      <c r="F15" s="152">
        <v>11028.5</v>
      </c>
      <c r="G15" s="153">
        <v>1755.0</v>
      </c>
      <c r="H15" s="144">
        <f t="shared" ref="H15:H45" si="9">G15*4</f>
        <v>7020</v>
      </c>
      <c r="I15" s="146">
        <v>8000.0</v>
      </c>
      <c r="J15" s="144">
        <f t="shared" ref="J15:M15" si="8">I15*1.03</f>
        <v>8240</v>
      </c>
      <c r="K15" s="144">
        <f t="shared" si="8"/>
        <v>8487.2</v>
      </c>
      <c r="L15" s="144">
        <f t="shared" si="8"/>
        <v>8741.816</v>
      </c>
      <c r="M15" s="144">
        <f t="shared" si="8"/>
        <v>9004.07048</v>
      </c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</row>
    <row r="16" ht="15.75" customHeight="1">
      <c r="A16" s="140"/>
      <c r="B16" s="140"/>
      <c r="C16" s="150" t="s">
        <v>165</v>
      </c>
      <c r="D16" s="152">
        <v>5965.18</v>
      </c>
      <c r="E16" s="152">
        <v>1525.14</v>
      </c>
      <c r="F16" s="152">
        <v>6522.48</v>
      </c>
      <c r="G16" s="153">
        <v>606.38</v>
      </c>
      <c r="H16" s="144">
        <f t="shared" si="9"/>
        <v>2425.52</v>
      </c>
      <c r="I16" s="146">
        <v>6500.0</v>
      </c>
      <c r="J16" s="144">
        <f t="shared" ref="J16:M16" si="10">I16*1.03</f>
        <v>6695</v>
      </c>
      <c r="K16" s="144">
        <f t="shared" si="10"/>
        <v>6895.85</v>
      </c>
      <c r="L16" s="144">
        <f t="shared" si="10"/>
        <v>7102.7255</v>
      </c>
      <c r="M16" s="144">
        <f t="shared" si="10"/>
        <v>7315.807265</v>
      </c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 ht="15.75" customHeight="1">
      <c r="A17" s="140"/>
      <c r="B17" s="140"/>
      <c r="C17" s="150" t="s">
        <v>166</v>
      </c>
      <c r="D17" s="152">
        <v>2.0</v>
      </c>
      <c r="E17" s="152">
        <v>1455.2</v>
      </c>
      <c r="F17" s="152">
        <v>1158.92</v>
      </c>
      <c r="G17" s="153">
        <v>75.0</v>
      </c>
      <c r="H17" s="144">
        <f t="shared" si="9"/>
        <v>300</v>
      </c>
      <c r="I17" s="144">
        <v>1200.0</v>
      </c>
      <c r="J17" s="144">
        <f t="shared" ref="J17:M17" si="11">I17*1.03</f>
        <v>1236</v>
      </c>
      <c r="K17" s="144">
        <f t="shared" si="11"/>
        <v>1273.08</v>
      </c>
      <c r="L17" s="144">
        <f t="shared" si="11"/>
        <v>1311.2724</v>
      </c>
      <c r="M17" s="144">
        <f t="shared" si="11"/>
        <v>1350.610572</v>
      </c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 ht="15.75" customHeight="1">
      <c r="A18" s="140"/>
      <c r="B18" s="140"/>
      <c r="C18" s="150" t="s">
        <v>167</v>
      </c>
      <c r="D18" s="152">
        <v>2317.0</v>
      </c>
      <c r="E18" s="152">
        <v>2689.0</v>
      </c>
      <c r="F18" s="152">
        <v>829.0</v>
      </c>
      <c r="G18" s="154"/>
      <c r="H18" s="144">
        <f t="shared" si="9"/>
        <v>0</v>
      </c>
      <c r="I18" s="144">
        <v>2500.0</v>
      </c>
      <c r="J18" s="144">
        <f t="shared" ref="J18:M18" si="12">I18*1.03</f>
        <v>2575</v>
      </c>
      <c r="K18" s="144">
        <f t="shared" si="12"/>
        <v>2652.25</v>
      </c>
      <c r="L18" s="144">
        <f t="shared" si="12"/>
        <v>2731.8175</v>
      </c>
      <c r="M18" s="144">
        <f t="shared" si="12"/>
        <v>2813.772025</v>
      </c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 ht="15.75" customHeight="1">
      <c r="A19" s="140"/>
      <c r="B19" s="140"/>
      <c r="C19" s="150" t="s">
        <v>168</v>
      </c>
      <c r="D19" s="152">
        <v>3067.5</v>
      </c>
      <c r="E19" s="152">
        <v>3745.0</v>
      </c>
      <c r="F19" s="152">
        <v>4617.5</v>
      </c>
      <c r="G19" s="153">
        <v>957.5</v>
      </c>
      <c r="H19" s="144">
        <f t="shared" si="9"/>
        <v>3830</v>
      </c>
      <c r="I19" s="144">
        <v>4500.0</v>
      </c>
      <c r="J19" s="144">
        <f t="shared" ref="J19:M19" si="13">I19*1.03</f>
        <v>4635</v>
      </c>
      <c r="K19" s="144">
        <f t="shared" si="13"/>
        <v>4774.05</v>
      </c>
      <c r="L19" s="144">
        <f t="shared" si="13"/>
        <v>4917.2715</v>
      </c>
      <c r="M19" s="144">
        <f t="shared" si="13"/>
        <v>5064.789645</v>
      </c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ht="15.75" customHeight="1">
      <c r="A20" s="140"/>
      <c r="B20" s="140"/>
      <c r="C20" s="150" t="s">
        <v>169</v>
      </c>
      <c r="D20" s="144"/>
      <c r="E20" s="144"/>
      <c r="F20" s="144"/>
      <c r="G20" s="154"/>
      <c r="H20" s="144">
        <f t="shared" si="9"/>
        <v>0</v>
      </c>
      <c r="I20" s="144"/>
      <c r="J20" s="144">
        <f t="shared" ref="J20:M20" si="14">I20*1.03</f>
        <v>0</v>
      </c>
      <c r="K20" s="144">
        <f t="shared" si="14"/>
        <v>0</v>
      </c>
      <c r="L20" s="144">
        <f t="shared" si="14"/>
        <v>0</v>
      </c>
      <c r="M20" s="144">
        <f t="shared" si="14"/>
        <v>0</v>
      </c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</row>
    <row r="21" ht="15.75" customHeight="1">
      <c r="A21" s="140"/>
      <c r="B21" s="140"/>
      <c r="C21" s="150" t="s">
        <v>170</v>
      </c>
      <c r="D21" s="152">
        <v>1918.81</v>
      </c>
      <c r="E21" s="152">
        <v>1699.73</v>
      </c>
      <c r="F21" s="152">
        <v>5171.09</v>
      </c>
      <c r="G21" s="153">
        <v>1305.48</v>
      </c>
      <c r="H21" s="144">
        <f t="shared" si="9"/>
        <v>5221.92</v>
      </c>
      <c r="I21" s="144">
        <v>2500.0</v>
      </c>
      <c r="J21" s="144">
        <f t="shared" ref="J21:M21" si="15">I21*1.03</f>
        <v>2575</v>
      </c>
      <c r="K21" s="144">
        <f t="shared" si="15"/>
        <v>2652.25</v>
      </c>
      <c r="L21" s="144">
        <f t="shared" si="15"/>
        <v>2731.8175</v>
      </c>
      <c r="M21" s="144">
        <f t="shared" si="15"/>
        <v>2813.772025</v>
      </c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ht="15.75" customHeight="1">
      <c r="A22" s="140"/>
      <c r="B22" s="140"/>
      <c r="C22" s="150" t="s">
        <v>171</v>
      </c>
      <c r="D22" s="155">
        <v>65000.0</v>
      </c>
      <c r="E22" s="155">
        <v>65000.0</v>
      </c>
      <c r="F22" s="156">
        <v>65000.0</v>
      </c>
      <c r="G22" s="157">
        <f>65000/4</f>
        <v>16250</v>
      </c>
      <c r="H22" s="144">
        <f t="shared" si="9"/>
        <v>65000</v>
      </c>
      <c r="I22" s="155">
        <v>65000.0</v>
      </c>
      <c r="J22" s="144">
        <f t="shared" ref="J22:M22" si="16">I22*1.03</f>
        <v>66950</v>
      </c>
      <c r="K22" s="144">
        <f t="shared" si="16"/>
        <v>68958.5</v>
      </c>
      <c r="L22" s="144">
        <f t="shared" si="16"/>
        <v>71027.255</v>
      </c>
      <c r="M22" s="144">
        <f t="shared" si="16"/>
        <v>73158.07265</v>
      </c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ht="15.75" customHeight="1">
      <c r="A23" s="140"/>
      <c r="B23" s="140"/>
      <c r="C23" s="150" t="s">
        <v>172</v>
      </c>
      <c r="D23" s="144">
        <f>372150.03-D22+2021.49+179</f>
        <v>309350.52</v>
      </c>
      <c r="E23" s="144">
        <f>516817.64-E22+752.07+1162.79</f>
        <v>453732.5</v>
      </c>
      <c r="F23" s="144">
        <f>543985.31-F22+1707.34+100</f>
        <v>480792.65</v>
      </c>
      <c r="G23" s="154">
        <f>133613.48-G22+98.35</f>
        <v>117461.83</v>
      </c>
      <c r="H23" s="144">
        <f t="shared" si="9"/>
        <v>469847.32</v>
      </c>
      <c r="I23" s="158">
        <v>450000.0</v>
      </c>
      <c r="J23" s="144">
        <f t="shared" ref="J23:M23" si="17">I23*1.03</f>
        <v>463500</v>
      </c>
      <c r="K23" s="144">
        <f t="shared" si="17"/>
        <v>477405</v>
      </c>
      <c r="L23" s="144">
        <f t="shared" si="17"/>
        <v>491727.15</v>
      </c>
      <c r="M23" s="144">
        <f t="shared" si="17"/>
        <v>506478.9645</v>
      </c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 ht="15.75" customHeight="1">
      <c r="A24" s="140"/>
      <c r="B24" s="140"/>
      <c r="C24" s="150" t="s">
        <v>173</v>
      </c>
      <c r="D24" s="144"/>
      <c r="E24" s="144"/>
      <c r="F24" s="144"/>
      <c r="G24" s="154"/>
      <c r="H24" s="144">
        <f t="shared" si="9"/>
        <v>0</v>
      </c>
      <c r="I24" s="144">
        <v>0.0</v>
      </c>
      <c r="J24" s="144">
        <f t="shared" ref="J24:M24" si="18">I24*1.03</f>
        <v>0</v>
      </c>
      <c r="K24" s="144">
        <f t="shared" si="18"/>
        <v>0</v>
      </c>
      <c r="L24" s="144">
        <f t="shared" si="18"/>
        <v>0</v>
      </c>
      <c r="M24" s="144">
        <f t="shared" si="18"/>
        <v>0</v>
      </c>
      <c r="N24" s="140"/>
      <c r="O24" s="140"/>
      <c r="P24" s="140"/>
      <c r="Q24" s="140"/>
      <c r="R24" s="140"/>
      <c r="S24" s="140"/>
      <c r="T24" s="208">
        <f>10*50000</f>
        <v>500000</v>
      </c>
      <c r="U24" s="140"/>
      <c r="V24" s="140"/>
      <c r="W24" s="140"/>
      <c r="X24" s="140"/>
      <c r="Y24" s="140"/>
      <c r="Z24" s="140"/>
    </row>
    <row r="25" ht="15.75" customHeight="1">
      <c r="A25" s="140"/>
      <c r="B25" s="140"/>
      <c r="C25" s="150" t="s">
        <v>174</v>
      </c>
      <c r="D25" s="144"/>
      <c r="E25" s="144"/>
      <c r="F25" s="144"/>
      <c r="G25" s="154"/>
      <c r="H25" s="144">
        <f t="shared" si="9"/>
        <v>0</v>
      </c>
      <c r="I25" s="144">
        <v>0.0</v>
      </c>
      <c r="J25" s="144">
        <f t="shared" ref="J25:M25" si="19">I25*1.03</f>
        <v>0</v>
      </c>
      <c r="K25" s="144">
        <f t="shared" si="19"/>
        <v>0</v>
      </c>
      <c r="L25" s="144">
        <f t="shared" si="19"/>
        <v>0</v>
      </c>
      <c r="M25" s="144">
        <f t="shared" si="19"/>
        <v>0</v>
      </c>
      <c r="N25" s="140"/>
      <c r="O25" s="140"/>
      <c r="P25" s="140"/>
      <c r="Q25" s="140"/>
      <c r="R25" s="140"/>
      <c r="S25" s="140"/>
      <c r="T25" s="208">
        <f>125000*10</f>
        <v>1250000</v>
      </c>
      <c r="U25" s="140"/>
      <c r="V25" s="140"/>
      <c r="W25" s="140"/>
      <c r="X25" s="140"/>
      <c r="Y25" s="140"/>
      <c r="Z25" s="140"/>
    </row>
    <row r="26" ht="15.75" customHeight="1">
      <c r="A26" s="140"/>
      <c r="B26" s="140"/>
      <c r="C26" s="150" t="s">
        <v>175</v>
      </c>
      <c r="D26" s="152">
        <f>8223.22+10820.73</f>
        <v>19043.95</v>
      </c>
      <c r="E26" s="152">
        <f>4866.29-13.35</f>
        <v>4852.94</v>
      </c>
      <c r="F26" s="152">
        <f>3711.27+1099.43</f>
        <v>4810.7</v>
      </c>
      <c r="G26" s="153">
        <f>699.96+277.55</f>
        <v>977.51</v>
      </c>
      <c r="H26" s="144">
        <f t="shared" si="9"/>
        <v>3910.04</v>
      </c>
      <c r="I26" s="144">
        <v>5000.0</v>
      </c>
      <c r="J26" s="144">
        <f t="shared" ref="J26:M26" si="20">I26*1.03</f>
        <v>5150</v>
      </c>
      <c r="K26" s="144">
        <f t="shared" si="20"/>
        <v>5304.5</v>
      </c>
      <c r="L26" s="144">
        <f t="shared" si="20"/>
        <v>5463.635</v>
      </c>
      <c r="M26" s="144">
        <f t="shared" si="20"/>
        <v>5627.54405</v>
      </c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ht="15.75" customHeight="1">
      <c r="A27" s="140"/>
      <c r="B27" s="140"/>
      <c r="C27" s="150" t="s">
        <v>176</v>
      </c>
      <c r="D27" s="144"/>
      <c r="E27" s="144"/>
      <c r="F27" s="144"/>
      <c r="G27" s="154"/>
      <c r="H27" s="144">
        <f t="shared" si="9"/>
        <v>0</v>
      </c>
      <c r="I27" s="144">
        <v>0.0</v>
      </c>
      <c r="J27" s="144">
        <f t="shared" ref="J27:M27" si="21">I27*1.03</f>
        <v>0</v>
      </c>
      <c r="K27" s="144">
        <f t="shared" si="21"/>
        <v>0</v>
      </c>
      <c r="L27" s="144">
        <f t="shared" si="21"/>
        <v>0</v>
      </c>
      <c r="M27" s="144">
        <f t="shared" si="21"/>
        <v>0</v>
      </c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 ht="15.75" customHeight="1">
      <c r="A28" s="140"/>
      <c r="B28" s="140"/>
      <c r="C28" s="150" t="s">
        <v>177</v>
      </c>
      <c r="D28" s="144"/>
      <c r="E28" s="144"/>
      <c r="F28" s="144"/>
      <c r="G28" s="154"/>
      <c r="H28" s="144">
        <f t="shared" si="9"/>
        <v>0</v>
      </c>
      <c r="I28" s="144">
        <v>0.0</v>
      </c>
      <c r="J28" s="144">
        <f t="shared" ref="J28:M28" si="22">I28*1.03</f>
        <v>0</v>
      </c>
      <c r="K28" s="144">
        <f t="shared" si="22"/>
        <v>0</v>
      </c>
      <c r="L28" s="144">
        <f t="shared" si="22"/>
        <v>0</v>
      </c>
      <c r="M28" s="144">
        <f t="shared" si="22"/>
        <v>0</v>
      </c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 ht="15.75" customHeight="1">
      <c r="A29" s="140"/>
      <c r="B29" s="140"/>
      <c r="C29" s="150" t="s">
        <v>135</v>
      </c>
      <c r="D29" s="152">
        <v>1389.84</v>
      </c>
      <c r="E29" s="151" t="s">
        <v>164</v>
      </c>
      <c r="F29" s="152">
        <v>21949.61</v>
      </c>
      <c r="G29" s="153">
        <v>327.0</v>
      </c>
      <c r="H29" s="144">
        <f t="shared" si="9"/>
        <v>1308</v>
      </c>
      <c r="I29" s="155">
        <v>21949.61</v>
      </c>
      <c r="J29" s="144">
        <f t="shared" ref="J29:M29" si="23">I29*1.03</f>
        <v>22608.0983</v>
      </c>
      <c r="K29" s="144">
        <f t="shared" si="23"/>
        <v>23286.34125</v>
      </c>
      <c r="L29" s="144">
        <f t="shared" si="23"/>
        <v>23984.93149</v>
      </c>
      <c r="M29" s="144">
        <f t="shared" si="23"/>
        <v>24704.47943</v>
      </c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</row>
    <row r="30" ht="15.75" customHeight="1">
      <c r="A30" s="84"/>
      <c r="B30" s="84"/>
      <c r="C30" s="150" t="s">
        <v>178</v>
      </c>
      <c r="D30" s="144"/>
      <c r="E30" s="144"/>
      <c r="F30" s="144"/>
      <c r="G30" s="154"/>
      <c r="H30" s="144">
        <f t="shared" si="9"/>
        <v>0</v>
      </c>
      <c r="I30" s="144"/>
      <c r="J30" s="144">
        <f t="shared" ref="J30:M30" si="24">I30*1.03</f>
        <v>0</v>
      </c>
      <c r="K30" s="144">
        <f t="shared" si="24"/>
        <v>0</v>
      </c>
      <c r="L30" s="144">
        <f t="shared" si="24"/>
        <v>0</v>
      </c>
      <c r="M30" s="144">
        <f t="shared" si="24"/>
        <v>0</v>
      </c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ht="15.75" customHeight="1">
      <c r="A31" s="140"/>
      <c r="B31" s="140"/>
      <c r="C31" s="150" t="s">
        <v>179</v>
      </c>
      <c r="D31" s="144"/>
      <c r="E31" s="144"/>
      <c r="F31" s="144"/>
      <c r="G31" s="154"/>
      <c r="H31" s="144">
        <f t="shared" si="9"/>
        <v>0</v>
      </c>
      <c r="I31" s="144"/>
      <c r="J31" s="144">
        <f t="shared" ref="J31:M31" si="25">I31*1.03</f>
        <v>0</v>
      </c>
      <c r="K31" s="144">
        <f t="shared" si="25"/>
        <v>0</v>
      </c>
      <c r="L31" s="144">
        <f t="shared" si="25"/>
        <v>0</v>
      </c>
      <c r="M31" s="144">
        <f t="shared" si="25"/>
        <v>0</v>
      </c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 ht="15.75" customHeight="1">
      <c r="A32" s="140"/>
      <c r="B32" s="140"/>
      <c r="C32" s="150" t="s">
        <v>180</v>
      </c>
      <c r="D32" s="152">
        <v>200.0</v>
      </c>
      <c r="E32" s="159"/>
      <c r="F32" s="152">
        <v>783.82</v>
      </c>
      <c r="G32" s="153">
        <v>98.2</v>
      </c>
      <c r="H32" s="144">
        <f t="shared" si="9"/>
        <v>392.8</v>
      </c>
      <c r="I32" s="144">
        <v>785.0</v>
      </c>
      <c r="J32" s="144">
        <f t="shared" ref="J32:M32" si="26">I32*1.03</f>
        <v>808.55</v>
      </c>
      <c r="K32" s="144">
        <f t="shared" si="26"/>
        <v>832.8065</v>
      </c>
      <c r="L32" s="144">
        <f t="shared" si="26"/>
        <v>857.790695</v>
      </c>
      <c r="M32" s="144">
        <f t="shared" si="26"/>
        <v>883.5244159</v>
      </c>
      <c r="N32" s="140"/>
      <c r="O32" s="209"/>
      <c r="P32" s="160"/>
      <c r="Q32" s="140"/>
      <c r="R32" s="140"/>
      <c r="S32" s="140"/>
      <c r="T32" s="140"/>
      <c r="U32" s="140"/>
      <c r="V32" s="140"/>
      <c r="W32" s="140"/>
      <c r="X32" s="140"/>
      <c r="Y32" s="140"/>
      <c r="Z32" s="140"/>
    </row>
    <row r="33" ht="15.75" customHeight="1">
      <c r="A33" s="140"/>
      <c r="B33" s="140"/>
      <c r="C33" s="150" t="s">
        <v>181</v>
      </c>
      <c r="D33" s="152">
        <v>6602.89</v>
      </c>
      <c r="E33" s="152">
        <v>3349.16</v>
      </c>
      <c r="F33" s="152">
        <v>4064.08</v>
      </c>
      <c r="G33" s="153">
        <v>759.82</v>
      </c>
      <c r="H33" s="144">
        <f t="shared" si="9"/>
        <v>3039.28</v>
      </c>
      <c r="I33" s="144">
        <v>4500.0</v>
      </c>
      <c r="J33" s="144">
        <f t="shared" ref="J33:M33" si="27">I33*1.03</f>
        <v>4635</v>
      </c>
      <c r="K33" s="144">
        <f t="shared" si="27"/>
        <v>4774.05</v>
      </c>
      <c r="L33" s="144">
        <f t="shared" si="27"/>
        <v>4917.2715</v>
      </c>
      <c r="M33" s="144">
        <f t="shared" si="27"/>
        <v>5064.789645</v>
      </c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</row>
    <row r="34" ht="15.75" customHeight="1">
      <c r="A34" s="140"/>
      <c r="B34" s="140"/>
      <c r="C34" s="150" t="s">
        <v>182</v>
      </c>
      <c r="D34" s="159">
        <f>43.3+950.68</f>
        <v>993.98</v>
      </c>
      <c r="E34" s="152">
        <f>161.88+27.49+659.21</f>
        <v>848.58</v>
      </c>
      <c r="F34" s="152">
        <f>744.4+99.66+25.86</f>
        <v>869.92</v>
      </c>
      <c r="G34" s="153">
        <f>1060.03+12.25+97.12</f>
        <v>1169.4</v>
      </c>
      <c r="H34" s="144">
        <f t="shared" si="9"/>
        <v>4677.6</v>
      </c>
      <c r="I34" s="144">
        <v>1000.0</v>
      </c>
      <c r="J34" s="144">
        <f t="shared" ref="J34:M34" si="28">I34*1.03</f>
        <v>1030</v>
      </c>
      <c r="K34" s="144">
        <f t="shared" si="28"/>
        <v>1060.9</v>
      </c>
      <c r="L34" s="144">
        <f t="shared" si="28"/>
        <v>1092.727</v>
      </c>
      <c r="M34" s="144">
        <f t="shared" si="28"/>
        <v>1125.50881</v>
      </c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</row>
    <row r="35" ht="15.75" customHeight="1">
      <c r="A35" s="140"/>
      <c r="B35" s="140"/>
      <c r="C35" s="150" t="s">
        <v>183</v>
      </c>
      <c r="D35" s="152">
        <v>1206.29</v>
      </c>
      <c r="E35" s="152">
        <v>1308.0</v>
      </c>
      <c r="F35" s="152">
        <v>1309.9</v>
      </c>
      <c r="G35" s="153">
        <v>426.2</v>
      </c>
      <c r="H35" s="144">
        <f t="shared" si="9"/>
        <v>1704.8</v>
      </c>
      <c r="I35" s="144">
        <v>1500.0</v>
      </c>
      <c r="J35" s="144">
        <f t="shared" ref="J35:M35" si="29">I35*1.03</f>
        <v>1545</v>
      </c>
      <c r="K35" s="144">
        <f t="shared" si="29"/>
        <v>1591.35</v>
      </c>
      <c r="L35" s="144">
        <f t="shared" si="29"/>
        <v>1639.0905</v>
      </c>
      <c r="M35" s="144">
        <f t="shared" si="29"/>
        <v>1688.263215</v>
      </c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</row>
    <row r="36" ht="15.75" customHeight="1">
      <c r="A36" s="140"/>
      <c r="B36" s="140"/>
      <c r="C36" s="150" t="s">
        <v>184</v>
      </c>
      <c r="D36" s="144"/>
      <c r="E36" s="144"/>
      <c r="F36" s="144"/>
      <c r="G36" s="154"/>
      <c r="H36" s="144">
        <f t="shared" si="9"/>
        <v>0</v>
      </c>
      <c r="I36" s="144"/>
      <c r="J36" s="144">
        <f t="shared" ref="J36:M36" si="30">I36*1.03</f>
        <v>0</v>
      </c>
      <c r="K36" s="144">
        <f t="shared" si="30"/>
        <v>0</v>
      </c>
      <c r="L36" s="144">
        <f t="shared" si="30"/>
        <v>0</v>
      </c>
      <c r="M36" s="144">
        <f t="shared" si="30"/>
        <v>0</v>
      </c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</row>
    <row r="37" ht="15.75" customHeight="1">
      <c r="A37" s="140"/>
      <c r="B37" s="140"/>
      <c r="C37" s="150" t="s">
        <v>185</v>
      </c>
      <c r="D37" s="152">
        <v>35749.36</v>
      </c>
      <c r="E37" s="152">
        <v>40486.08</v>
      </c>
      <c r="F37" s="152">
        <v>36303.32</v>
      </c>
      <c r="G37" s="153">
        <v>8753.37</v>
      </c>
      <c r="H37" s="144">
        <f t="shared" si="9"/>
        <v>35013.48</v>
      </c>
      <c r="I37" s="146">
        <v>40000.0</v>
      </c>
      <c r="J37" s="144">
        <f t="shared" ref="J37:M37" si="31">I37*1.03</f>
        <v>41200</v>
      </c>
      <c r="K37" s="144">
        <f t="shared" si="31"/>
        <v>42436</v>
      </c>
      <c r="L37" s="144">
        <f t="shared" si="31"/>
        <v>43709.08</v>
      </c>
      <c r="M37" s="144">
        <f t="shared" si="31"/>
        <v>45020.3524</v>
      </c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</row>
    <row r="38" ht="15.75" customHeight="1">
      <c r="A38" s="140"/>
      <c r="B38" s="140"/>
      <c r="C38" s="150" t="s">
        <v>186</v>
      </c>
      <c r="D38" s="151">
        <v>19962.91</v>
      </c>
      <c r="E38" s="152">
        <f>1110.41+8499.21</f>
        <v>9609.62</v>
      </c>
      <c r="F38" s="152">
        <f>1029.82+12540.51</f>
        <v>13570.33</v>
      </c>
      <c r="G38" s="154">
        <f>1196.79+1240.18</f>
        <v>2436.97</v>
      </c>
      <c r="H38" s="144">
        <f t="shared" si="9"/>
        <v>9747.88</v>
      </c>
      <c r="I38" s="144">
        <v>15000.0</v>
      </c>
      <c r="J38" s="144">
        <f t="shared" ref="J38:M38" si="32">I38*1.03</f>
        <v>15450</v>
      </c>
      <c r="K38" s="144">
        <f t="shared" si="32"/>
        <v>15913.5</v>
      </c>
      <c r="L38" s="144">
        <f t="shared" si="32"/>
        <v>16390.905</v>
      </c>
      <c r="M38" s="144">
        <f t="shared" si="32"/>
        <v>16882.63215</v>
      </c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</row>
    <row r="39" ht="15.75" customHeight="1">
      <c r="A39" s="140"/>
      <c r="B39" s="140"/>
      <c r="C39" s="150" t="s">
        <v>187</v>
      </c>
      <c r="D39" s="152">
        <v>520.38</v>
      </c>
      <c r="E39" s="152">
        <v>903.39</v>
      </c>
      <c r="F39" s="152">
        <v>945.64</v>
      </c>
      <c r="G39" s="153">
        <v>169.0</v>
      </c>
      <c r="H39" s="144">
        <f t="shared" si="9"/>
        <v>676</v>
      </c>
      <c r="I39" s="144">
        <v>2500.0</v>
      </c>
      <c r="J39" s="144">
        <f t="shared" ref="J39:M39" si="33">I39*1.03</f>
        <v>2575</v>
      </c>
      <c r="K39" s="144">
        <f t="shared" si="33"/>
        <v>2652.25</v>
      </c>
      <c r="L39" s="144">
        <f t="shared" si="33"/>
        <v>2731.8175</v>
      </c>
      <c r="M39" s="144">
        <f t="shared" si="33"/>
        <v>2813.772025</v>
      </c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</row>
    <row r="40" ht="15.75" customHeight="1">
      <c r="A40" s="140"/>
      <c r="B40" s="140"/>
      <c r="C40" s="150" t="s">
        <v>188</v>
      </c>
      <c r="D40" s="152">
        <v>830.29</v>
      </c>
      <c r="E40" s="152">
        <v>25122.8</v>
      </c>
      <c r="F40" s="152">
        <v>9.7</v>
      </c>
      <c r="G40" s="154"/>
      <c r="H40" s="144">
        <f t="shared" si="9"/>
        <v>0</v>
      </c>
      <c r="I40" s="158">
        <v>9711.18</v>
      </c>
      <c r="J40" s="144">
        <f t="shared" ref="J40:M40" si="34">I40*1.03</f>
        <v>10002.5154</v>
      </c>
      <c r="K40" s="144">
        <f t="shared" si="34"/>
        <v>10302.59086</v>
      </c>
      <c r="L40" s="144">
        <f t="shared" si="34"/>
        <v>10611.66859</v>
      </c>
      <c r="M40" s="144">
        <f t="shared" si="34"/>
        <v>10930.01865</v>
      </c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</row>
    <row r="41" ht="15.75" customHeight="1">
      <c r="A41" s="140"/>
      <c r="B41" s="140"/>
      <c r="C41" s="150" t="s">
        <v>189</v>
      </c>
      <c r="D41" s="144"/>
      <c r="E41" s="144"/>
      <c r="F41" s="144"/>
      <c r="G41" s="154"/>
      <c r="H41" s="144">
        <f t="shared" si="9"/>
        <v>0</v>
      </c>
      <c r="I41" s="144"/>
      <c r="J41" s="144">
        <f t="shared" ref="J41:M41" si="35">I41*1.03</f>
        <v>0</v>
      </c>
      <c r="K41" s="144">
        <f t="shared" si="35"/>
        <v>0</v>
      </c>
      <c r="L41" s="144">
        <f t="shared" si="35"/>
        <v>0</v>
      </c>
      <c r="M41" s="144">
        <f t="shared" si="35"/>
        <v>0</v>
      </c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</row>
    <row r="42" ht="15.75" customHeight="1">
      <c r="A42" s="140"/>
      <c r="B42" s="140"/>
      <c r="C42" s="150" t="s">
        <v>190</v>
      </c>
      <c r="D42" s="144"/>
      <c r="E42" s="144"/>
      <c r="F42" s="144"/>
      <c r="G42" s="154"/>
      <c r="H42" s="144">
        <f t="shared" si="9"/>
        <v>0</v>
      </c>
      <c r="I42" s="144"/>
      <c r="J42" s="144"/>
      <c r="K42" s="144"/>
      <c r="L42" s="144"/>
      <c r="M42" s="144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</row>
    <row r="43" ht="15.75" customHeight="1">
      <c r="A43" s="140"/>
      <c r="B43" s="140"/>
      <c r="C43" s="150" t="s">
        <v>191</v>
      </c>
      <c r="D43" s="144"/>
      <c r="E43" s="144"/>
      <c r="F43" s="144"/>
      <c r="G43" s="154"/>
      <c r="H43" s="144">
        <f t="shared" si="9"/>
        <v>0</v>
      </c>
      <c r="I43" s="144"/>
      <c r="J43" s="144">
        <f t="shared" ref="J43:M43" si="36">I43*1.03</f>
        <v>0</v>
      </c>
      <c r="K43" s="144">
        <f t="shared" si="36"/>
        <v>0</v>
      </c>
      <c r="L43" s="144">
        <f t="shared" si="36"/>
        <v>0</v>
      </c>
      <c r="M43" s="144">
        <f t="shared" si="36"/>
        <v>0</v>
      </c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</row>
    <row r="44" ht="15.75" customHeight="1">
      <c r="A44" s="140"/>
      <c r="B44" s="140"/>
      <c r="C44" s="150" t="s">
        <v>192</v>
      </c>
      <c r="D44" s="152">
        <v>20822.61</v>
      </c>
      <c r="E44" s="152">
        <v>22200.0</v>
      </c>
      <c r="F44" s="152">
        <v>22898.16</v>
      </c>
      <c r="G44" s="153">
        <v>7152.11</v>
      </c>
      <c r="H44" s="144">
        <f t="shared" si="9"/>
        <v>28608.44</v>
      </c>
      <c r="I44" s="144">
        <v>23000.0</v>
      </c>
      <c r="J44" s="144">
        <f t="shared" ref="J44:M44" si="37">I44*1.03</f>
        <v>23690</v>
      </c>
      <c r="K44" s="144">
        <f t="shared" si="37"/>
        <v>24400.7</v>
      </c>
      <c r="L44" s="144">
        <f t="shared" si="37"/>
        <v>25132.721</v>
      </c>
      <c r="M44" s="144">
        <f t="shared" si="37"/>
        <v>25886.70263</v>
      </c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</row>
    <row r="45" ht="15.75" customHeight="1">
      <c r="A45" s="140"/>
      <c r="B45" s="140"/>
      <c r="C45" s="150" t="s">
        <v>193</v>
      </c>
      <c r="D45" s="152">
        <v>639.0</v>
      </c>
      <c r="E45" s="152">
        <v>981.62</v>
      </c>
      <c r="F45" s="152">
        <v>349.5</v>
      </c>
      <c r="G45" s="154"/>
      <c r="H45" s="144">
        <f t="shared" si="9"/>
        <v>0</v>
      </c>
      <c r="I45" s="144">
        <v>1500.0</v>
      </c>
      <c r="J45" s="144">
        <f t="shared" ref="J45:M45" si="38">I45*1.03</f>
        <v>1545</v>
      </c>
      <c r="K45" s="144">
        <f t="shared" si="38"/>
        <v>1591.35</v>
      </c>
      <c r="L45" s="144">
        <f t="shared" si="38"/>
        <v>1639.0905</v>
      </c>
      <c r="M45" s="144">
        <f t="shared" si="38"/>
        <v>1688.263215</v>
      </c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</row>
    <row r="46" ht="15.75" customHeight="1">
      <c r="A46" s="140"/>
      <c r="B46" s="140"/>
      <c r="C46" s="161" t="s">
        <v>194</v>
      </c>
      <c r="D46" s="162">
        <f t="shared" ref="D46:M46" si="39">SUM(D15:D45)</f>
        <v>495582.51</v>
      </c>
      <c r="E46" s="162">
        <f t="shared" si="39"/>
        <v>640708.76</v>
      </c>
      <c r="F46" s="162">
        <f t="shared" si="39"/>
        <v>682984.82</v>
      </c>
      <c r="G46" s="162">
        <f t="shared" si="39"/>
        <v>160680.77</v>
      </c>
      <c r="H46" s="162">
        <f t="shared" si="39"/>
        <v>642723.08</v>
      </c>
      <c r="I46" s="162">
        <f t="shared" si="39"/>
        <v>666645.79</v>
      </c>
      <c r="J46" s="162">
        <f t="shared" si="39"/>
        <v>686645.1637</v>
      </c>
      <c r="K46" s="162">
        <f t="shared" si="39"/>
        <v>707244.5186</v>
      </c>
      <c r="L46" s="162">
        <f t="shared" si="39"/>
        <v>728461.8542</v>
      </c>
      <c r="M46" s="162">
        <f t="shared" si="39"/>
        <v>750315.7098</v>
      </c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</row>
    <row r="47" ht="15.75" customHeight="1">
      <c r="A47" s="140"/>
      <c r="B47" s="140"/>
      <c r="C47" s="161" t="s">
        <v>26</v>
      </c>
      <c r="D47" s="162">
        <f t="shared" ref="D47:M47" si="40">D12-D46</f>
        <v>266803.39</v>
      </c>
      <c r="E47" s="162">
        <f t="shared" si="40"/>
        <v>257652.23</v>
      </c>
      <c r="F47" s="162">
        <f t="shared" si="40"/>
        <v>299763.21</v>
      </c>
      <c r="G47" s="162">
        <f t="shared" si="40"/>
        <v>68642.42</v>
      </c>
      <c r="H47" s="162">
        <f t="shared" si="40"/>
        <v>274569.68</v>
      </c>
      <c r="I47" s="162">
        <f t="shared" si="40"/>
        <v>365854.21</v>
      </c>
      <c r="J47" s="162">
        <f t="shared" si="40"/>
        <v>378454.8363</v>
      </c>
      <c r="K47" s="162">
        <f t="shared" si="40"/>
        <v>391773.4814</v>
      </c>
      <c r="L47" s="162">
        <f t="shared" si="40"/>
        <v>405899.6858</v>
      </c>
      <c r="M47" s="162">
        <f t="shared" si="40"/>
        <v>420939.2764</v>
      </c>
      <c r="N47" s="140"/>
      <c r="O47" s="140">
        <f>I47/12</f>
        <v>30487.85083</v>
      </c>
      <c r="P47" s="140">
        <f>O47*4</f>
        <v>121951.4033</v>
      </c>
      <c r="Q47" s="140"/>
      <c r="R47" s="140"/>
      <c r="S47" s="140"/>
      <c r="T47" s="140"/>
      <c r="U47" s="140"/>
      <c r="V47" s="140"/>
      <c r="W47" s="140"/>
      <c r="X47" s="140"/>
      <c r="Y47" s="140"/>
      <c r="Z47" s="140"/>
    </row>
    <row r="48" ht="5.25" customHeight="1">
      <c r="C48" s="164"/>
      <c r="D48" s="144"/>
      <c r="E48" s="144"/>
      <c r="F48" s="144"/>
      <c r="G48" s="144"/>
      <c r="H48" s="144"/>
      <c r="I48" s="144"/>
      <c r="J48" s="144"/>
      <c r="K48" s="144"/>
      <c r="L48" s="144"/>
      <c r="M48" s="144"/>
    </row>
    <row r="49" ht="19.5" customHeight="1">
      <c r="C49" s="210" t="s">
        <v>256</v>
      </c>
      <c r="D49" s="211">
        <f>D47/'Deal Overview'!$C$5</f>
        <v>0.08337605938</v>
      </c>
      <c r="E49" s="211">
        <f>E47/'Deal Overview'!$C$5</f>
        <v>0.08051632188</v>
      </c>
      <c r="F49" s="211">
        <f>F47/'Deal Overview'!$C$5</f>
        <v>0.09367600313</v>
      </c>
      <c r="G49" s="211">
        <f>G47/'Deal Overview'!$C$5</f>
        <v>0.02145075625</v>
      </c>
      <c r="H49" s="211">
        <f>H47/'Deal Overview'!$C$5</f>
        <v>0.085803025</v>
      </c>
      <c r="I49" s="211">
        <f>I47/'Deal Overview'!$C$5</f>
        <v>0.1143294406</v>
      </c>
      <c r="J49" s="211">
        <f>J47/'Deal Overview'!$C$5</f>
        <v>0.1182671363</v>
      </c>
      <c r="K49" s="211">
        <f>K47/'Deal Overview'!$C$5</f>
        <v>0.1224292129</v>
      </c>
      <c r="L49" s="211">
        <f>L47/'Deal Overview'!$C$5</f>
        <v>0.1268436518</v>
      </c>
      <c r="M49" s="211">
        <f>M47/'Deal Overview'!$C$5</f>
        <v>0.1315435239</v>
      </c>
    </row>
    <row r="50" ht="18.0" customHeight="1">
      <c r="A50" s="140"/>
      <c r="B50" s="140"/>
      <c r="C50" s="212" t="s">
        <v>257</v>
      </c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</row>
    <row r="51" ht="18.0" customHeight="1">
      <c r="A51" s="140"/>
      <c r="B51" s="140"/>
      <c r="C51" s="213" t="s">
        <v>258</v>
      </c>
      <c r="D51" s="144"/>
      <c r="E51" s="144"/>
      <c r="F51" s="144"/>
      <c r="G51" s="144"/>
      <c r="H51" s="144"/>
      <c r="I51" s="144">
        <f>I12*0.05</f>
        <v>51625</v>
      </c>
      <c r="J51" s="144">
        <f t="shared" ref="J51:M51" si="41">I51</f>
        <v>51625</v>
      </c>
      <c r="K51" s="144">
        <f t="shared" si="41"/>
        <v>51625</v>
      </c>
      <c r="L51" s="144">
        <f t="shared" si="41"/>
        <v>51625</v>
      </c>
      <c r="M51" s="144">
        <f t="shared" si="41"/>
        <v>51625</v>
      </c>
      <c r="N51" s="140"/>
      <c r="O51" s="160">
        <f>I12-I46-I51-I53-I54</f>
        <v>293579.21</v>
      </c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</row>
    <row r="52" ht="15.75" customHeight="1">
      <c r="C52" s="134" t="s">
        <v>259</v>
      </c>
      <c r="D52" s="214"/>
      <c r="E52" s="214"/>
      <c r="F52" s="215">
        <f>F47/I52</f>
        <v>1.516321444</v>
      </c>
      <c r="G52" s="214"/>
      <c r="H52" s="214"/>
      <c r="I52" s="216">
        <f>'Sources and Uses'!J9</f>
        <v>197691.0709</v>
      </c>
      <c r="J52" s="214">
        <f t="shared" ref="J52:M52" si="42">I52</f>
        <v>197691.0709</v>
      </c>
      <c r="K52" s="214">
        <f t="shared" si="42"/>
        <v>197691.0709</v>
      </c>
      <c r="L52" s="214">
        <f t="shared" si="42"/>
        <v>197691.0709</v>
      </c>
      <c r="M52" s="217">
        <f t="shared" si="42"/>
        <v>197691.0709</v>
      </c>
      <c r="O52" s="218">
        <f>O51-I52</f>
        <v>95888.13911</v>
      </c>
      <c r="R52" s="110">
        <f>'Sources and Uses'!D13</f>
        <v>1240000</v>
      </c>
    </row>
    <row r="53" ht="15.75" customHeight="1">
      <c r="C53" s="140" t="s">
        <v>260</v>
      </c>
      <c r="I53" s="219">
        <f t="shared" ref="I53:M53" si="43">I12*0.01</f>
        <v>10325</v>
      </c>
      <c r="J53" s="220">
        <f t="shared" si="43"/>
        <v>10651</v>
      </c>
      <c r="K53" s="220">
        <f t="shared" si="43"/>
        <v>10990.18</v>
      </c>
      <c r="L53" s="220">
        <f t="shared" si="43"/>
        <v>11343.6154</v>
      </c>
      <c r="M53" s="221">
        <f t="shared" si="43"/>
        <v>11712.54986</v>
      </c>
    </row>
    <row r="54" ht="15.75" customHeight="1">
      <c r="C54" s="140" t="s">
        <v>176</v>
      </c>
      <c r="I54" s="219">
        <f t="shared" ref="I54:M54" si="44">I12*0.01</f>
        <v>10325</v>
      </c>
      <c r="J54" s="220">
        <f t="shared" si="44"/>
        <v>10651</v>
      </c>
      <c r="K54" s="220">
        <f t="shared" si="44"/>
        <v>10990.18</v>
      </c>
      <c r="L54" s="220">
        <f t="shared" si="44"/>
        <v>11343.6154</v>
      </c>
      <c r="M54" s="221">
        <f t="shared" si="44"/>
        <v>11712.54986</v>
      </c>
    </row>
    <row r="55" ht="15.75" customHeight="1">
      <c r="C55" s="140" t="s">
        <v>261</v>
      </c>
      <c r="I55" s="219">
        <f t="shared" ref="I55:M55" si="45">I47-I51-I52-I53-I54</f>
        <v>95888.13911</v>
      </c>
      <c r="J55" s="220">
        <f t="shared" si="45"/>
        <v>107836.7654</v>
      </c>
      <c r="K55" s="220">
        <f t="shared" si="45"/>
        <v>120477.0505</v>
      </c>
      <c r="L55" s="220">
        <f t="shared" si="45"/>
        <v>133896.3841</v>
      </c>
      <c r="M55" s="221">
        <f t="shared" si="45"/>
        <v>148198.1058</v>
      </c>
    </row>
    <row r="56" ht="15.75" customHeight="1">
      <c r="C56" s="140" t="s">
        <v>262</v>
      </c>
      <c r="D56" s="222">
        <f>D55/'Deal Overview'!$C$8</f>
        <v>0</v>
      </c>
      <c r="E56" s="222">
        <f>E55/'Deal Overview'!$C$8</f>
        <v>0</v>
      </c>
      <c r="F56" s="222">
        <f>F55/'Deal Overview'!$C$8</f>
        <v>0</v>
      </c>
      <c r="G56" s="222">
        <f>G55/'Deal Overview'!$C$8</f>
        <v>0</v>
      </c>
      <c r="H56" s="222">
        <f>H55/'Deal Overview'!$C$8</f>
        <v>0</v>
      </c>
      <c r="I56" s="223">
        <f>I55/'Sources and Uses'!$D$13</f>
        <v>0.07732914444</v>
      </c>
      <c r="J56" s="224">
        <f>J55/'Deal Overview'!$C$8</f>
        <v>0.08696513339</v>
      </c>
      <c r="K56" s="224">
        <f>K55/'Deal Overview'!$C$8</f>
        <v>0.09715891169</v>
      </c>
      <c r="L56" s="224">
        <f>L55/'Deal Overview'!$C$8</f>
        <v>0.107980955</v>
      </c>
      <c r="M56" s="225">
        <f>M55/'Deal Overview'!$C$8</f>
        <v>0.1195146014</v>
      </c>
      <c r="O56" s="218">
        <f>I51+I53+I54</f>
        <v>72275</v>
      </c>
    </row>
    <row r="57" ht="15.75" customHeight="1">
      <c r="C57" s="106" t="s">
        <v>71</v>
      </c>
      <c r="I57" s="96" t="str">
        <f>'Sources and Uses'!L8</f>
        <v>Total Principal Reduction</v>
      </c>
      <c r="J57" s="226">
        <f>'Sources and Uses'!M8</f>
        <v>-34799.01589</v>
      </c>
      <c r="K57" s="226">
        <f>'Sources and Uses'!N8</f>
        <v>-37351.75471</v>
      </c>
      <c r="L57" s="226">
        <f>'Sources and Uses'!O8</f>
        <v>-40091.75386</v>
      </c>
      <c r="M57" s="226">
        <f>'Sources and Uses'!P8</f>
        <v>-43032.75014</v>
      </c>
    </row>
    <row r="58" ht="15.75" customHeight="1">
      <c r="C58" s="106" t="s">
        <v>88</v>
      </c>
      <c r="I58" s="110">
        <f>'Sources and Uses'!M9</f>
        <v>2275200.984</v>
      </c>
      <c r="J58" s="226">
        <f>'Sources and Uses'!N9</f>
        <v>2237849.229</v>
      </c>
      <c r="K58" s="226">
        <f>'Sources and Uses'!O9</f>
        <v>2197757.476</v>
      </c>
      <c r="L58" s="226">
        <f>'Sources and Uses'!P9</f>
        <v>2154724.725</v>
      </c>
      <c r="M58" s="226">
        <f>'Sources and Uses'!Q9</f>
        <v>2108535.237</v>
      </c>
    </row>
    <row r="59" ht="15.75" customHeight="1">
      <c r="C59" s="106" t="s">
        <v>263</v>
      </c>
      <c r="I59" s="108">
        <f t="shared" ref="I59:M59" si="46">I47/0.08</f>
        <v>4573177.625</v>
      </c>
      <c r="J59" s="108">
        <f t="shared" si="46"/>
        <v>4730685.454</v>
      </c>
      <c r="K59" s="108">
        <f t="shared" si="46"/>
        <v>4897168.517</v>
      </c>
      <c r="L59" s="108">
        <f t="shared" si="46"/>
        <v>5073746.073</v>
      </c>
      <c r="M59" s="108">
        <f t="shared" si="46"/>
        <v>5261740.955</v>
      </c>
    </row>
    <row r="60" ht="15.75" customHeight="1">
      <c r="C60" s="106" t="s">
        <v>264</v>
      </c>
      <c r="I60" s="108">
        <f t="shared" ref="I60:M60" si="47">I59*0.06</f>
        <v>274390.6575</v>
      </c>
      <c r="J60" s="108">
        <f t="shared" si="47"/>
        <v>283841.1272</v>
      </c>
      <c r="K60" s="108">
        <f t="shared" si="47"/>
        <v>293830.111</v>
      </c>
      <c r="L60" s="108">
        <f t="shared" si="47"/>
        <v>304424.7644</v>
      </c>
      <c r="M60" s="108">
        <f t="shared" si="47"/>
        <v>315704.4573</v>
      </c>
      <c r="P60" s="227">
        <f>I55+I52</f>
        <v>293579.21</v>
      </c>
    </row>
    <row r="61" ht="15.75" customHeight="1">
      <c r="C61" s="106" t="s">
        <v>265</v>
      </c>
      <c r="I61" s="108">
        <f t="shared" ref="I61:M61" si="48">I59-I60-I58</f>
        <v>2023585.983</v>
      </c>
      <c r="J61" s="108">
        <f t="shared" si="48"/>
        <v>2208995.097</v>
      </c>
      <c r="K61" s="108">
        <f t="shared" si="48"/>
        <v>2405580.931</v>
      </c>
      <c r="L61" s="108">
        <f t="shared" si="48"/>
        <v>2614596.583</v>
      </c>
      <c r="M61" s="108">
        <f t="shared" si="48"/>
        <v>2837501.26</v>
      </c>
    </row>
    <row r="62" ht="15.75" customHeight="1">
      <c r="C62" s="106" t="s">
        <v>266</v>
      </c>
      <c r="D62" s="228">
        <v>0.08</v>
      </c>
      <c r="E62" s="220"/>
      <c r="F62" s="220"/>
      <c r="I62" s="108">
        <f>'Sources and Uses'!$D$13*$D$62</f>
        <v>99200</v>
      </c>
      <c r="J62" s="108">
        <f>'Sources and Uses'!$D$13*$D$62</f>
        <v>99200</v>
      </c>
      <c r="K62" s="108">
        <f>'Sources and Uses'!$D$13*$D$62</f>
        <v>99200</v>
      </c>
      <c r="L62" s="108">
        <f>'Sources and Uses'!$D$13*$D$62</f>
        <v>99200</v>
      </c>
      <c r="M62" s="108">
        <f>'Sources and Uses'!$D$13*$D$62</f>
        <v>99200</v>
      </c>
    </row>
    <row r="63" ht="15.75" customHeight="1">
      <c r="C63" s="106" t="s">
        <v>35</v>
      </c>
      <c r="D63" s="228">
        <v>0.5</v>
      </c>
      <c r="E63" s="220"/>
      <c r="F63" s="220"/>
      <c r="I63" s="108">
        <f t="shared" ref="I63:M63" si="49">if((I55-I62)&gt;0,(I55-I62)/2,0)</f>
        <v>0</v>
      </c>
      <c r="J63" s="108">
        <f t="shared" si="49"/>
        <v>4318.382705</v>
      </c>
      <c r="K63" s="108">
        <f t="shared" si="49"/>
        <v>10638.52525</v>
      </c>
      <c r="L63" s="108">
        <f t="shared" si="49"/>
        <v>17348.19207</v>
      </c>
      <c r="M63" s="108">
        <f t="shared" si="49"/>
        <v>24499.0529</v>
      </c>
    </row>
    <row r="64" ht="15.75" customHeight="1">
      <c r="C64" s="106" t="s">
        <v>267</v>
      </c>
      <c r="D64" s="220"/>
      <c r="E64" s="220"/>
      <c r="F64" s="220"/>
      <c r="I64" s="227">
        <f t="shared" ref="I64:M64" si="50">I55-I63</f>
        <v>95888.13911</v>
      </c>
      <c r="J64" s="227">
        <f t="shared" si="50"/>
        <v>103518.3827</v>
      </c>
      <c r="K64" s="227">
        <f t="shared" si="50"/>
        <v>109838.5252</v>
      </c>
      <c r="L64" s="227">
        <f t="shared" si="50"/>
        <v>116548.1921</v>
      </c>
      <c r="M64" s="227">
        <f t="shared" si="50"/>
        <v>123699.0529</v>
      </c>
    </row>
    <row r="65" ht="15.75" customHeight="1">
      <c r="C65" s="106" t="s">
        <v>268</v>
      </c>
      <c r="D65" s="220"/>
      <c r="E65" s="220"/>
      <c r="F65" s="220"/>
      <c r="I65" s="101">
        <f>I64/'Sources and Uses'!$D$13</f>
        <v>0.07732914444</v>
      </c>
      <c r="J65" s="101">
        <f>J64/'Sources and Uses'!$D$13</f>
        <v>0.0834825667</v>
      </c>
      <c r="K65" s="101">
        <f>K64/'Sources and Uses'!$D$13</f>
        <v>0.08857945585</v>
      </c>
      <c r="L65" s="101">
        <f>L64/'Sources and Uses'!$D$13</f>
        <v>0.09399047748</v>
      </c>
      <c r="M65" s="101">
        <f>M64/'Sources and Uses'!$D$13</f>
        <v>0.09975730072</v>
      </c>
    </row>
    <row r="66" ht="15.75" customHeight="1">
      <c r="D66" s="220"/>
      <c r="E66" s="220"/>
      <c r="F66" s="220"/>
      <c r="O66" s="106"/>
    </row>
    <row r="67" ht="15.75" customHeight="1">
      <c r="C67" s="106" t="s">
        <v>269</v>
      </c>
      <c r="D67" s="220"/>
      <c r="E67" s="220"/>
      <c r="F67" s="220"/>
      <c r="O67" s="106"/>
    </row>
    <row r="68" ht="15.75" customHeight="1">
      <c r="C68" s="106" t="s">
        <v>270</v>
      </c>
      <c r="D68" s="220"/>
      <c r="E68" s="220"/>
      <c r="F68" s="220"/>
      <c r="I68" s="108">
        <f t="shared" ref="I68:M68" si="51">I63</f>
        <v>0</v>
      </c>
      <c r="J68" s="108">
        <f t="shared" si="51"/>
        <v>4318.382705</v>
      </c>
      <c r="K68" s="108">
        <f t="shared" si="51"/>
        <v>10638.52525</v>
      </c>
      <c r="L68" s="108">
        <f t="shared" si="51"/>
        <v>17348.19207</v>
      </c>
      <c r="M68" s="108">
        <f t="shared" si="51"/>
        <v>24499.0529</v>
      </c>
      <c r="O68" s="106"/>
    </row>
    <row r="69" ht="15.75" customHeight="1">
      <c r="C69" s="106" t="s">
        <v>271</v>
      </c>
      <c r="D69" s="220"/>
      <c r="E69" s="220"/>
      <c r="F69" s="220"/>
      <c r="M69" s="108">
        <f>M59*0.03</f>
        <v>157852.2287</v>
      </c>
      <c r="O69" s="106"/>
    </row>
    <row r="70" ht="15.75" customHeight="1">
      <c r="C70" s="106" t="s">
        <v>272</v>
      </c>
      <c r="D70" s="220"/>
      <c r="E70" s="220"/>
      <c r="F70" s="220"/>
      <c r="I70" s="110">
        <f>'Sources and Uses'!D18</f>
        <v>23100</v>
      </c>
      <c r="O70" s="106"/>
    </row>
    <row r="71" ht="15.75" customHeight="1">
      <c r="C71" s="106" t="s">
        <v>260</v>
      </c>
      <c r="D71" s="220"/>
      <c r="E71" s="220"/>
      <c r="F71" s="220"/>
      <c r="I71" s="227">
        <f t="shared" ref="I71:M71" si="52">I53</f>
        <v>10325</v>
      </c>
      <c r="J71" s="227">
        <f t="shared" si="52"/>
        <v>10651</v>
      </c>
      <c r="K71" s="227">
        <f t="shared" si="52"/>
        <v>10990.18</v>
      </c>
      <c r="L71" s="227">
        <f t="shared" si="52"/>
        <v>11343.6154</v>
      </c>
      <c r="M71" s="227">
        <f t="shared" si="52"/>
        <v>11712.54986</v>
      </c>
      <c r="O71" s="106"/>
    </row>
    <row r="72" ht="15.75" customHeight="1">
      <c r="C72" s="106" t="s">
        <v>273</v>
      </c>
      <c r="D72" s="220"/>
      <c r="E72" s="220"/>
      <c r="F72" s="220"/>
      <c r="M72" s="108">
        <f>(M61-'Sources and Uses'!D13)*D63</f>
        <v>798750.6302</v>
      </c>
      <c r="O72" s="106"/>
    </row>
    <row r="73" ht="15.75" customHeight="1">
      <c r="C73" s="106" t="s">
        <v>12</v>
      </c>
      <c r="D73" s="220">
        <f>sum(I68:M72)</f>
        <v>1091529.357</v>
      </c>
      <c r="E73" s="220"/>
      <c r="F73" s="220"/>
      <c r="I73" s="218">
        <f>I47-I52</f>
        <v>168163.1391</v>
      </c>
      <c r="O73" s="106"/>
    </row>
    <row r="74" ht="15.75" customHeight="1">
      <c r="D74" s="220"/>
      <c r="E74" s="220"/>
      <c r="F74" s="220"/>
      <c r="O74" s="106"/>
    </row>
    <row r="75" ht="15.75" customHeight="1">
      <c r="D75" s="220"/>
      <c r="E75" s="220"/>
      <c r="F75" s="220"/>
      <c r="O75" s="106"/>
    </row>
    <row r="76" ht="15.75" customHeight="1">
      <c r="D76" s="220"/>
      <c r="E76" s="220"/>
      <c r="F76" s="220"/>
      <c r="O76" s="106"/>
    </row>
    <row r="77" ht="15.75" customHeight="1">
      <c r="D77" s="220"/>
      <c r="E77" s="220"/>
      <c r="F77" s="220"/>
      <c r="O77" s="106"/>
    </row>
    <row r="78" ht="15.75" customHeight="1">
      <c r="D78" s="220"/>
      <c r="E78" s="220"/>
      <c r="F78" s="220"/>
      <c r="H78" s="67" t="s">
        <v>274</v>
      </c>
      <c r="I78" s="229">
        <f t="shared" ref="I78:M78" si="53">I47</f>
        <v>365854.21</v>
      </c>
      <c r="J78" s="229">
        <f t="shared" si="53"/>
        <v>378454.8363</v>
      </c>
      <c r="K78" s="229">
        <f t="shared" si="53"/>
        <v>391773.4814</v>
      </c>
      <c r="L78" s="229">
        <f t="shared" si="53"/>
        <v>405899.6858</v>
      </c>
      <c r="M78" s="229">
        <f t="shared" si="53"/>
        <v>420939.2764</v>
      </c>
      <c r="O78" s="106"/>
    </row>
    <row r="79" ht="15.75" customHeight="1">
      <c r="D79" s="220"/>
      <c r="E79" s="220"/>
      <c r="F79" s="220"/>
      <c r="H79" s="67" t="s">
        <v>274</v>
      </c>
      <c r="I79" s="229">
        <f t="shared" ref="I79:M79" si="54">I52</f>
        <v>197691.0709</v>
      </c>
      <c r="J79" s="229">
        <f t="shared" si="54"/>
        <v>197691.0709</v>
      </c>
      <c r="K79" s="229">
        <f t="shared" si="54"/>
        <v>197691.0709</v>
      </c>
      <c r="L79" s="229">
        <f t="shared" si="54"/>
        <v>197691.0709</v>
      </c>
      <c r="M79" s="229">
        <f t="shared" si="54"/>
        <v>197691.0709</v>
      </c>
      <c r="O79" s="106"/>
    </row>
    <row r="80" ht="15.75" customHeight="1">
      <c r="D80" s="220"/>
      <c r="E80" s="220"/>
      <c r="F80" s="220"/>
      <c r="O80" s="106"/>
    </row>
    <row r="81" ht="15.75" customHeight="1">
      <c r="D81" s="220"/>
      <c r="E81" s="220"/>
      <c r="F81" s="220"/>
      <c r="O81" s="106"/>
    </row>
    <row r="82" ht="15.75" customHeight="1">
      <c r="D82" s="220"/>
      <c r="E82" s="220"/>
      <c r="F82" s="220"/>
      <c r="O82" s="106"/>
    </row>
    <row r="83" ht="15.75" customHeight="1">
      <c r="D83" s="220"/>
      <c r="E83" s="220"/>
      <c r="F83" s="220"/>
      <c r="O83" s="106"/>
    </row>
    <row r="84" ht="15.75" customHeight="1">
      <c r="D84" s="220"/>
      <c r="E84" s="220"/>
      <c r="F84" s="220"/>
      <c r="O84" s="106"/>
    </row>
    <row r="85" ht="15.75" customHeight="1">
      <c r="D85" s="220"/>
      <c r="E85" s="220"/>
      <c r="F85" s="220"/>
      <c r="O85" s="106"/>
    </row>
    <row r="86" ht="15.75" customHeight="1">
      <c r="D86" s="220"/>
      <c r="E86" s="220"/>
      <c r="F86" s="220"/>
      <c r="H86" s="106" t="s">
        <v>275</v>
      </c>
      <c r="I86" s="108">
        <f>I47/12</f>
        <v>30487.85083</v>
      </c>
      <c r="O86" s="106" t="s">
        <v>276</v>
      </c>
      <c r="P86" s="227">
        <f>sum(I55:M55)</f>
        <v>606296.4449</v>
      </c>
    </row>
    <row r="87" ht="15.75" customHeight="1">
      <c r="D87" s="220"/>
      <c r="E87" s="220"/>
      <c r="F87" s="220"/>
      <c r="H87" s="106" t="s">
        <v>277</v>
      </c>
      <c r="I87" s="108">
        <f>I52/12</f>
        <v>16474.25591</v>
      </c>
      <c r="O87" s="106" t="s">
        <v>278</v>
      </c>
      <c r="P87" s="108">
        <f>M61-'Sources and Uses'!D13</f>
        <v>1597501.26</v>
      </c>
    </row>
    <row r="88" ht="15.75" customHeight="1">
      <c r="D88" s="230">
        <f t="shared" ref="D88:G88" si="55">D46+D89</f>
        <v>573340</v>
      </c>
      <c r="E88" s="230">
        <f t="shared" si="55"/>
        <v>735899.49</v>
      </c>
      <c r="F88" s="230">
        <f t="shared" si="55"/>
        <v>902341.41</v>
      </c>
      <c r="G88" s="230">
        <f t="shared" si="55"/>
        <v>217731.82</v>
      </c>
      <c r="H88" s="106" t="s">
        <v>279</v>
      </c>
      <c r="I88" s="108">
        <f>I55/12</f>
        <v>7990.678259</v>
      </c>
      <c r="O88" s="106" t="s">
        <v>21</v>
      </c>
      <c r="P88" s="108">
        <f>P87+P86</f>
        <v>2203797.705</v>
      </c>
    </row>
    <row r="89" ht="15.75" customHeight="1">
      <c r="C89" s="140" t="s">
        <v>280</v>
      </c>
      <c r="D89" s="231">
        <f t="shared" ref="D89:G89" si="56">SUM(D90:D1048604)</f>
        <v>77757.49</v>
      </c>
      <c r="E89" s="231">
        <f t="shared" si="56"/>
        <v>95190.73</v>
      </c>
      <c r="F89" s="231">
        <f t="shared" si="56"/>
        <v>219356.59</v>
      </c>
      <c r="G89" s="231">
        <f t="shared" si="56"/>
        <v>57051.05</v>
      </c>
      <c r="O89" s="106" t="s">
        <v>281</v>
      </c>
      <c r="P89" s="108">
        <f>sum(I62:M62)</f>
        <v>496000</v>
      </c>
    </row>
    <row r="90" ht="15.75" customHeight="1">
      <c r="C90" s="140" t="s">
        <v>282</v>
      </c>
      <c r="D90" s="232">
        <v>76200.0</v>
      </c>
      <c r="E90" s="232">
        <v>94500.0</v>
      </c>
      <c r="F90" s="232">
        <v>216146.09</v>
      </c>
      <c r="G90" s="233">
        <v>55000.0</v>
      </c>
      <c r="O90" s="106" t="s">
        <v>283</v>
      </c>
      <c r="P90" s="108">
        <f>P88-P89</f>
        <v>1707797.705</v>
      </c>
    </row>
    <row r="91" ht="15.75" customHeight="1">
      <c r="C91" s="140" t="s">
        <v>284</v>
      </c>
      <c r="D91" s="232">
        <v>302.63</v>
      </c>
      <c r="E91" s="232">
        <v>267.59</v>
      </c>
      <c r="F91" s="232">
        <v>924.19</v>
      </c>
      <c r="G91" s="233">
        <v>26.68</v>
      </c>
      <c r="O91" s="106" t="s">
        <v>285</v>
      </c>
      <c r="P91" s="108">
        <f>P90/2</f>
        <v>853898.8527</v>
      </c>
    </row>
    <row r="92" ht="15.75" customHeight="1">
      <c r="C92" s="140" t="s">
        <v>286</v>
      </c>
      <c r="D92" s="232">
        <v>844.33</v>
      </c>
      <c r="E92" s="234" t="s">
        <v>164</v>
      </c>
      <c r="F92" s="232">
        <v>1269.69</v>
      </c>
      <c r="G92" s="235"/>
      <c r="O92" s="106" t="s">
        <v>287</v>
      </c>
      <c r="P92" s="108">
        <f>P91+P89</f>
        <v>1349898.853</v>
      </c>
    </row>
    <row r="93" ht="15.75" customHeight="1">
      <c r="C93" s="236" t="s">
        <v>288</v>
      </c>
      <c r="D93" s="232">
        <v>410.53</v>
      </c>
      <c r="E93" s="232">
        <v>423.14</v>
      </c>
      <c r="F93" s="232">
        <v>310.0</v>
      </c>
      <c r="G93" s="235"/>
      <c r="P93" s="101">
        <f>P92/'Sources and Uses'!D13</f>
        <v>1.088628107</v>
      </c>
    </row>
    <row r="94" ht="15.75" customHeight="1">
      <c r="C94" s="236" t="s">
        <v>289</v>
      </c>
      <c r="D94" s="234" t="s">
        <v>164</v>
      </c>
      <c r="E94" s="234" t="s">
        <v>164</v>
      </c>
      <c r="F94" s="232">
        <v>693.1</v>
      </c>
      <c r="G94" s="233">
        <v>1471.87</v>
      </c>
    </row>
    <row r="95" ht="15.75" customHeight="1">
      <c r="C95" s="236" t="s">
        <v>13</v>
      </c>
      <c r="D95" s="234" t="s">
        <v>164</v>
      </c>
      <c r="E95" s="234" t="s">
        <v>164</v>
      </c>
      <c r="F95" s="232">
        <v>13.52</v>
      </c>
      <c r="G95" s="235"/>
    </row>
    <row r="96" ht="15.75" customHeight="1">
      <c r="D96" s="235"/>
      <c r="E96" s="235"/>
      <c r="F96" s="235"/>
      <c r="G96" s="233">
        <v>552.5</v>
      </c>
      <c r="P96" s="106" t="s">
        <v>290</v>
      </c>
      <c r="Q96" s="106" t="s">
        <v>72</v>
      </c>
      <c r="R96" s="106" t="s">
        <v>73</v>
      </c>
      <c r="S96" s="106" t="s">
        <v>74</v>
      </c>
      <c r="T96" s="106" t="s">
        <v>75</v>
      </c>
      <c r="U96" s="106" t="s">
        <v>76</v>
      </c>
    </row>
    <row r="97" ht="15.75" customHeight="1">
      <c r="O97" s="106" t="s">
        <v>30</v>
      </c>
      <c r="P97" s="110">
        <f>-'Sources and Uses'!D13</f>
        <v>-1240000</v>
      </c>
      <c r="Q97" s="227">
        <f t="shared" ref="Q97:U97" si="57">I55</f>
        <v>95888.13911</v>
      </c>
      <c r="R97" s="227">
        <f t="shared" si="57"/>
        <v>107836.7654</v>
      </c>
      <c r="S97" s="227">
        <f t="shared" si="57"/>
        <v>120477.0505</v>
      </c>
      <c r="T97" s="227">
        <f t="shared" si="57"/>
        <v>133896.3841</v>
      </c>
      <c r="U97" s="227">
        <f t="shared" si="57"/>
        <v>148198.1058</v>
      </c>
    </row>
    <row r="98" ht="15.75" customHeight="1">
      <c r="O98" s="106" t="s">
        <v>71</v>
      </c>
    </row>
    <row r="99" ht="15.75" customHeight="1">
      <c r="O99" s="106" t="s">
        <v>291</v>
      </c>
      <c r="U99" s="108">
        <f>M61</f>
        <v>2837501.26</v>
      </c>
    </row>
    <row r="100" ht="15.75" customHeight="1">
      <c r="O100" s="106" t="s">
        <v>292</v>
      </c>
      <c r="Q100" s="108">
        <f t="shared" ref="Q100:T100" si="58">(I55-I62)/2</f>
        <v>-1655.930445</v>
      </c>
      <c r="R100" s="108">
        <f t="shared" si="58"/>
        <v>4318.382705</v>
      </c>
      <c r="S100" s="108">
        <f t="shared" si="58"/>
        <v>10638.52525</v>
      </c>
      <c r="T100" s="108">
        <f t="shared" si="58"/>
        <v>17348.19207</v>
      </c>
      <c r="U100" s="108">
        <f>((M55-M62)/2)+((U99-'Sources and Uses'!D13)/2)</f>
        <v>823249.6831</v>
      </c>
    </row>
    <row r="101" ht="15.75" customHeight="1">
      <c r="O101" s="106" t="s">
        <v>293</v>
      </c>
      <c r="P101" s="110">
        <f>P99+P98+P97</f>
        <v>-1240000</v>
      </c>
      <c r="Q101" s="227">
        <f t="shared" ref="Q101:U101" si="59">Q99+Q98+Q97-Q100</f>
        <v>97544.06955</v>
      </c>
      <c r="R101" s="227">
        <f t="shared" si="59"/>
        <v>103518.3827</v>
      </c>
      <c r="S101" s="227">
        <f t="shared" si="59"/>
        <v>109838.5252</v>
      </c>
      <c r="T101" s="227">
        <f t="shared" si="59"/>
        <v>116548.1921</v>
      </c>
      <c r="U101" s="108">
        <f t="shared" si="59"/>
        <v>2162449.683</v>
      </c>
    </row>
    <row r="102" ht="15.75" customHeight="1">
      <c r="O102" s="106" t="s">
        <v>294</v>
      </c>
      <c r="P102" s="237">
        <f>irr(P101:U101)</f>
        <v>0.1776531918</v>
      </c>
    </row>
    <row r="103" ht="15.75" customHeight="1">
      <c r="O103" s="106" t="s">
        <v>295</v>
      </c>
      <c r="P103" s="237">
        <f>sum(P101:U101)/'Sources and Uses'!D13</f>
        <v>1.088628107</v>
      </c>
    </row>
    <row r="104" ht="15.75" customHeight="1"/>
    <row r="105" ht="15.75" customHeight="1"/>
    <row r="106" ht="15.75" customHeight="1">
      <c r="P106" s="106" t="s">
        <v>290</v>
      </c>
      <c r="Q106" s="106" t="s">
        <v>72</v>
      </c>
      <c r="R106" s="106" t="s">
        <v>73</v>
      </c>
      <c r="S106" s="106" t="s">
        <v>74</v>
      </c>
      <c r="T106" s="106" t="s">
        <v>75</v>
      </c>
      <c r="U106" s="106" t="s">
        <v>76</v>
      </c>
    </row>
    <row r="107" ht="15.75" customHeight="1">
      <c r="O107" s="106" t="s">
        <v>30</v>
      </c>
      <c r="P107" s="110">
        <f t="shared" ref="P107:R107" si="60">P97</f>
        <v>-1240000</v>
      </c>
      <c r="Q107" s="227">
        <f t="shared" si="60"/>
        <v>95888.13911</v>
      </c>
      <c r="R107" s="227">
        <f t="shared" si="60"/>
        <v>107836.7654</v>
      </c>
      <c r="S107" s="101">
        <f t="shared" ref="S107:U107" si="61">K65</f>
        <v>0.08857945585</v>
      </c>
      <c r="T107" s="101">
        <f t="shared" si="61"/>
        <v>0.09399047748</v>
      </c>
      <c r="U107" s="101">
        <f t="shared" si="61"/>
        <v>0.09975730072</v>
      </c>
    </row>
    <row r="108" ht="15.75" customHeight="1">
      <c r="O108" s="106" t="s">
        <v>71</v>
      </c>
    </row>
    <row r="109" ht="15.75" customHeight="1">
      <c r="O109" s="106" t="s">
        <v>291</v>
      </c>
      <c r="R109" s="108">
        <f>J61</f>
        <v>2208995.097</v>
      </c>
      <c r="U109" s="96" t="str">
        <f>M91</f>
        <v/>
      </c>
    </row>
    <row r="110" ht="15.75" customHeight="1">
      <c r="O110" s="106" t="s">
        <v>292</v>
      </c>
      <c r="Q110" s="108">
        <f t="shared" ref="Q110:R110" si="62">Q100</f>
        <v>-1655.930445</v>
      </c>
      <c r="R110" s="108">
        <f t="shared" si="62"/>
        <v>4318.382705</v>
      </c>
      <c r="S110" s="108">
        <f t="shared" ref="S110:T110" si="63">(K65-K92)/2</f>
        <v>0.04428972792</v>
      </c>
      <c r="T110" s="108">
        <f t="shared" si="63"/>
        <v>0.04699523874</v>
      </c>
      <c r="U110" s="108">
        <f>((M65-M92)/2)+((U109-'Sources and Uses'!D23)/2)</f>
        <v>-108874.9501</v>
      </c>
    </row>
    <row r="111" ht="15.75" customHeight="1">
      <c r="O111" s="106" t="s">
        <v>293</v>
      </c>
      <c r="P111" s="110">
        <f>P109+P108+P107</f>
        <v>-1240000</v>
      </c>
      <c r="Q111" s="227">
        <f t="shared" ref="Q111:U111" si="64">Q109+Q108+Q107-Q110</f>
        <v>97544.06955</v>
      </c>
      <c r="R111" s="108">
        <f t="shared" si="64"/>
        <v>2312513.48</v>
      </c>
      <c r="S111" s="101">
        <f t="shared" si="64"/>
        <v>0.04428972792</v>
      </c>
      <c r="T111" s="101">
        <f t="shared" si="64"/>
        <v>0.04699523874</v>
      </c>
      <c r="U111" s="101">
        <f t="shared" si="64"/>
        <v>108875.0499</v>
      </c>
    </row>
    <row r="112" ht="15.75" customHeight="1">
      <c r="O112" s="106" t="s">
        <v>294</v>
      </c>
      <c r="P112" s="237">
        <f>irr(P111:U111)</f>
        <v>0.4167762976</v>
      </c>
    </row>
    <row r="113" ht="15.75" customHeight="1">
      <c r="O113" s="106" t="s">
        <v>295</v>
      </c>
      <c r="P113" s="237"/>
    </row>
    <row r="114" ht="15.75" customHeight="1"/>
    <row r="115" ht="15.75" customHeight="1"/>
    <row r="116" ht="15.75" customHeight="1"/>
    <row r="117" ht="15.75" customHeight="1"/>
    <row r="118" ht="15.75" customHeight="1">
      <c r="N118" s="1"/>
      <c r="O118" s="1" t="s">
        <v>296</v>
      </c>
      <c r="P118" s="1" t="s">
        <v>290</v>
      </c>
      <c r="Q118" s="1" t="s">
        <v>72</v>
      </c>
      <c r="R118" s="1" t="s">
        <v>73</v>
      </c>
      <c r="S118" s="1" t="s">
        <v>74</v>
      </c>
      <c r="T118" s="1" t="s">
        <v>75</v>
      </c>
      <c r="U118" s="1" t="s">
        <v>76</v>
      </c>
      <c r="V118" s="1" t="s">
        <v>21</v>
      </c>
    </row>
    <row r="119" ht="15.75" customHeight="1">
      <c r="N119" s="1"/>
      <c r="O119" s="1" t="s">
        <v>30</v>
      </c>
      <c r="P119" s="23">
        <f>-'Sources and Uses'!G20</f>
        <v>-1240000</v>
      </c>
      <c r="Q119" s="171">
        <f t="shared" ref="Q119:U119" si="65">I55</f>
        <v>95888.13911</v>
      </c>
      <c r="R119" s="171">
        <f t="shared" si="65"/>
        <v>107836.7654</v>
      </c>
      <c r="S119" s="171">
        <f t="shared" si="65"/>
        <v>120477.0505</v>
      </c>
      <c r="T119" s="171">
        <f t="shared" si="65"/>
        <v>133896.3841</v>
      </c>
      <c r="U119" s="171">
        <f t="shared" si="65"/>
        <v>148198.1058</v>
      </c>
      <c r="V119" s="23">
        <f t="shared" ref="V119:V121" si="67">SUM(P119:U119)</f>
        <v>-633703.5551</v>
      </c>
    </row>
    <row r="120" ht="15.75" customHeight="1">
      <c r="N120" s="27">
        <v>0.08</v>
      </c>
      <c r="O120" s="1" t="s">
        <v>297</v>
      </c>
      <c r="P120" s="23">
        <f>-P119*$N$120</f>
        <v>99200</v>
      </c>
      <c r="Q120" s="23">
        <f t="shared" ref="Q120:U120" si="66">P120</f>
        <v>99200</v>
      </c>
      <c r="R120" s="23">
        <f t="shared" si="66"/>
        <v>99200</v>
      </c>
      <c r="S120" s="23">
        <f t="shared" si="66"/>
        <v>99200</v>
      </c>
      <c r="T120" s="23">
        <f t="shared" si="66"/>
        <v>99200</v>
      </c>
      <c r="U120" s="23">
        <f t="shared" si="66"/>
        <v>99200</v>
      </c>
      <c r="V120" s="23">
        <f t="shared" si="67"/>
        <v>595200</v>
      </c>
    </row>
    <row r="121" ht="15.75" customHeight="1">
      <c r="N121" s="1"/>
      <c r="O121" s="1" t="s">
        <v>291</v>
      </c>
      <c r="P121" s="1"/>
      <c r="Q121" s="1"/>
      <c r="R121" s="1"/>
      <c r="S121" s="1"/>
      <c r="T121" s="1"/>
      <c r="U121" s="100">
        <f>M61</f>
        <v>2837501.26</v>
      </c>
      <c r="V121" s="23">
        <f t="shared" si="67"/>
        <v>2837501.26</v>
      </c>
    </row>
    <row r="122" ht="15.75" customHeight="1">
      <c r="N122" s="1"/>
      <c r="O122" s="1" t="s">
        <v>298</v>
      </c>
      <c r="P122" s="1"/>
      <c r="Q122" s="1"/>
      <c r="R122" s="1"/>
      <c r="S122" s="1"/>
      <c r="T122" s="1"/>
      <c r="U122" s="1"/>
      <c r="V122" s="23">
        <f>V121+V119</f>
        <v>2203797.705</v>
      </c>
    </row>
    <row r="123" ht="15.75" customHeight="1">
      <c r="N123" s="1" t="s">
        <v>299</v>
      </c>
      <c r="O123" s="1" t="s">
        <v>293</v>
      </c>
      <c r="P123" s="1" t="s">
        <v>300</v>
      </c>
      <c r="Q123" s="1"/>
      <c r="R123" s="1"/>
      <c r="S123" s="1"/>
      <c r="T123" s="1"/>
      <c r="U123" s="1"/>
      <c r="V123" s="238">
        <f>SUM(P123:U123)</f>
        <v>0</v>
      </c>
    </row>
    <row r="124" ht="15.75" customHeight="1">
      <c r="N124" s="1" t="s">
        <v>301</v>
      </c>
      <c r="O124" s="1"/>
      <c r="P124" s="1"/>
      <c r="Q124" s="1"/>
      <c r="R124" s="1"/>
      <c r="S124" s="1"/>
      <c r="T124" s="1"/>
      <c r="U124" s="1"/>
      <c r="V124" s="1"/>
    </row>
    <row r="125" ht="15.75" customHeight="1">
      <c r="N125" s="1" t="s">
        <v>302</v>
      </c>
      <c r="O125" s="1"/>
      <c r="P125" s="1"/>
      <c r="Q125" s="1"/>
      <c r="R125" s="1"/>
      <c r="S125" s="1"/>
      <c r="T125" s="1"/>
      <c r="U125" s="1"/>
      <c r="V125" s="1"/>
    </row>
    <row r="126" ht="15.75" customHeight="1"/>
    <row r="127" ht="15.75" customHeight="1">
      <c r="N127" s="27">
        <v>0.08</v>
      </c>
      <c r="O127" s="1" t="s">
        <v>303</v>
      </c>
      <c r="P127" s="23">
        <f>-$P$119*$N$127</f>
        <v>99200</v>
      </c>
      <c r="Q127" s="23">
        <f t="shared" ref="Q127:U127" si="68">P127</f>
        <v>99200</v>
      </c>
      <c r="R127" s="23">
        <f t="shared" si="68"/>
        <v>99200</v>
      </c>
      <c r="S127" s="23">
        <f t="shared" si="68"/>
        <v>99200</v>
      </c>
      <c r="T127" s="23">
        <f t="shared" si="68"/>
        <v>99200</v>
      </c>
      <c r="U127" s="23">
        <f t="shared" si="68"/>
        <v>99200</v>
      </c>
      <c r="V127" s="23">
        <f t="shared" ref="V127:V129" si="70">SUM(P127:U127)</f>
        <v>595200</v>
      </c>
    </row>
    <row r="128" ht="15.75" customHeight="1">
      <c r="N128" s="27">
        <v>0.1</v>
      </c>
      <c r="O128" s="1" t="s">
        <v>304</v>
      </c>
      <c r="P128" s="23">
        <f>N128*-P119</f>
        <v>124000</v>
      </c>
      <c r="Q128" s="23">
        <f t="shared" ref="Q128:U128" si="69">P128</f>
        <v>124000</v>
      </c>
      <c r="R128" s="23">
        <f t="shared" si="69"/>
        <v>124000</v>
      </c>
      <c r="S128" s="23">
        <f t="shared" si="69"/>
        <v>124000</v>
      </c>
      <c r="T128" s="23">
        <f t="shared" si="69"/>
        <v>124000</v>
      </c>
      <c r="U128" s="23">
        <f t="shared" si="69"/>
        <v>124000</v>
      </c>
      <c r="V128" s="23">
        <f t="shared" si="70"/>
        <v>744000</v>
      </c>
    </row>
    <row r="129" ht="15.75" customHeight="1">
      <c r="N129" s="27">
        <v>0.15</v>
      </c>
      <c r="O129" s="1" t="s">
        <v>305</v>
      </c>
      <c r="P129" s="23">
        <f>N129*-P119</f>
        <v>186000</v>
      </c>
      <c r="Q129" s="23">
        <f t="shared" ref="Q129:U129" si="71">P129</f>
        <v>186000</v>
      </c>
      <c r="R129" s="23">
        <f t="shared" si="71"/>
        <v>186000</v>
      </c>
      <c r="S129" s="23">
        <f t="shared" si="71"/>
        <v>186000</v>
      </c>
      <c r="T129" s="23">
        <f t="shared" si="71"/>
        <v>186000</v>
      </c>
      <c r="U129" s="23">
        <f t="shared" si="71"/>
        <v>186000</v>
      </c>
      <c r="V129" s="23">
        <f t="shared" si="70"/>
        <v>1116000</v>
      </c>
    </row>
    <row r="130" ht="15.75" customHeight="1">
      <c r="N130" s="1"/>
      <c r="O130" s="1"/>
      <c r="P130" s="1"/>
      <c r="Q130" s="1"/>
      <c r="R130" s="1"/>
      <c r="S130" s="1"/>
      <c r="T130" s="1"/>
      <c r="U130" s="1"/>
      <c r="V130" s="1"/>
    </row>
    <row r="131" ht="15.75" customHeight="1">
      <c r="N131" s="1"/>
      <c r="O131" s="1"/>
      <c r="P131" s="1"/>
      <c r="Q131" s="1"/>
      <c r="R131" s="1"/>
      <c r="S131" s="1"/>
      <c r="T131" s="1"/>
      <c r="U131" s="1"/>
      <c r="V131" s="1"/>
    </row>
    <row r="132" ht="15.75" customHeight="1">
      <c r="N132" s="1"/>
      <c r="O132" s="1"/>
      <c r="P132" s="1"/>
      <c r="Q132" s="1"/>
      <c r="R132" s="1"/>
      <c r="S132" s="1"/>
      <c r="T132" s="1"/>
      <c r="U132" s="1"/>
      <c r="V132" s="1"/>
    </row>
    <row r="133" ht="15.75" customHeight="1">
      <c r="N133" s="1"/>
      <c r="O133" s="1" t="s">
        <v>306</v>
      </c>
      <c r="P133" s="23">
        <f>V122</f>
        <v>2203797.705</v>
      </c>
      <c r="Q133" s="1"/>
      <c r="R133" s="1"/>
      <c r="S133" s="1"/>
      <c r="T133" s="1"/>
      <c r="U133" s="1"/>
      <c r="V133" s="1"/>
    </row>
    <row r="134" ht="15.75" customHeight="1">
      <c r="N134" s="1"/>
      <c r="O134" s="1" t="s">
        <v>297</v>
      </c>
      <c r="P134" s="23">
        <f>V127</f>
        <v>595200</v>
      </c>
      <c r="Q134" s="1"/>
      <c r="R134" s="1"/>
      <c r="S134" s="1"/>
      <c r="T134" s="1"/>
      <c r="U134" s="1"/>
      <c r="V134" s="1"/>
    </row>
    <row r="135" ht="15.75" customHeight="1">
      <c r="N135" s="1"/>
      <c r="O135" s="1" t="s">
        <v>32</v>
      </c>
      <c r="P135" s="23">
        <f>P133-P134</f>
        <v>1608597.705</v>
      </c>
      <c r="Q135" s="1"/>
      <c r="R135" s="1"/>
      <c r="S135" s="1"/>
      <c r="T135" s="1"/>
      <c r="U135" s="1"/>
      <c r="V135" s="1"/>
    </row>
    <row r="136" ht="15.75" customHeight="1">
      <c r="N136" s="1"/>
      <c r="O136" s="1" t="s">
        <v>307</v>
      </c>
      <c r="P136" s="23">
        <f>V128-V127</f>
        <v>148800</v>
      </c>
      <c r="Q136" s="1"/>
      <c r="R136" s="1"/>
      <c r="S136" s="1"/>
      <c r="T136" s="1"/>
      <c r="U136" s="1"/>
      <c r="V136" s="1"/>
    </row>
    <row r="137" ht="15.75" customHeight="1">
      <c r="N137" s="1"/>
      <c r="O137" s="1" t="s">
        <v>308</v>
      </c>
      <c r="P137" s="23">
        <f>(P136/0.8)*0.2</f>
        <v>37200</v>
      </c>
      <c r="Q137" s="1"/>
      <c r="R137" s="1"/>
      <c r="S137" s="1"/>
      <c r="T137" s="1"/>
      <c r="U137" s="1"/>
      <c r="V137" s="1"/>
    </row>
    <row r="138" ht="15.75" customHeight="1">
      <c r="N138" s="1"/>
      <c r="O138" s="1" t="s">
        <v>32</v>
      </c>
      <c r="P138" s="23">
        <f>P135-P136-P137</f>
        <v>1422597.705</v>
      </c>
      <c r="Q138" s="1"/>
      <c r="R138" s="1"/>
      <c r="S138" s="1"/>
      <c r="T138" s="1"/>
      <c r="U138" s="1"/>
      <c r="V138" s="1"/>
    </row>
    <row r="139" ht="15.75" customHeight="1">
      <c r="N139" s="1"/>
      <c r="O139" s="1" t="s">
        <v>309</v>
      </c>
      <c r="P139" s="23">
        <f>V129-V128</f>
        <v>372000</v>
      </c>
      <c r="Q139" s="1"/>
      <c r="R139" s="1"/>
      <c r="S139" s="1"/>
      <c r="T139" s="1"/>
      <c r="U139" s="1"/>
      <c r="V139" s="1"/>
    </row>
    <row r="140" ht="15.75" customHeight="1">
      <c r="N140" s="1"/>
      <c r="O140" s="1" t="s">
        <v>310</v>
      </c>
      <c r="P140" s="23">
        <f>(P139/0.7)*0.3</f>
        <v>159428.5714</v>
      </c>
      <c r="Q140" s="1"/>
      <c r="R140" s="1"/>
      <c r="S140" s="1"/>
      <c r="T140" s="1"/>
      <c r="U140" s="1"/>
      <c r="V140" s="1"/>
    </row>
    <row r="141" ht="15.75" customHeight="1">
      <c r="N141" s="1"/>
      <c r="O141" s="1" t="s">
        <v>32</v>
      </c>
      <c r="P141" s="23">
        <f>P138-P140-P139</f>
        <v>891169.1339</v>
      </c>
      <c r="Q141" s="1"/>
      <c r="R141" s="1"/>
      <c r="S141" s="1"/>
      <c r="T141" s="1"/>
      <c r="U141" s="1"/>
      <c r="V141" s="1"/>
    </row>
    <row r="142" ht="15.75" customHeight="1">
      <c r="N142" s="1"/>
      <c r="O142" s="1" t="s">
        <v>311</v>
      </c>
      <c r="P142" s="23">
        <f>P141/2</f>
        <v>445584.5669</v>
      </c>
      <c r="Q142" s="1"/>
      <c r="R142" s="1"/>
      <c r="S142" s="1"/>
      <c r="T142" s="1"/>
      <c r="U142" s="1"/>
      <c r="V142" s="1"/>
    </row>
    <row r="143" ht="15.75" customHeight="1">
      <c r="N143" s="1"/>
      <c r="O143" s="1" t="s">
        <v>312</v>
      </c>
      <c r="P143" s="23">
        <f>P142</f>
        <v>445584.5669</v>
      </c>
      <c r="Q143" s="1"/>
      <c r="R143" s="1"/>
      <c r="S143" s="1"/>
      <c r="T143" s="1"/>
      <c r="U143" s="1"/>
      <c r="V143" s="1"/>
    </row>
    <row r="144" ht="15.75" customHeight="1">
      <c r="N144" s="1"/>
      <c r="O144" s="1" t="s">
        <v>293</v>
      </c>
      <c r="P144" s="23">
        <f>P142+P139+P136+P134</f>
        <v>1561584.567</v>
      </c>
      <c r="Q144" s="1"/>
      <c r="R144" s="1"/>
      <c r="S144" s="1"/>
      <c r="T144" s="1"/>
      <c r="U144" s="1"/>
      <c r="V144" s="1"/>
    </row>
    <row r="145" ht="15.75" customHeight="1">
      <c r="N145" s="1"/>
      <c r="O145" s="1" t="s">
        <v>313</v>
      </c>
      <c r="P145" s="23">
        <f>P143+P140+P137</f>
        <v>642213.1384</v>
      </c>
      <c r="Q145" s="1"/>
      <c r="R145" s="1"/>
      <c r="S145" s="1"/>
      <c r="T145" s="1"/>
      <c r="U145" s="1"/>
      <c r="V145" s="1"/>
    </row>
    <row r="146" ht="15.75" customHeight="1">
      <c r="N146" s="1"/>
      <c r="O146" s="1" t="s">
        <v>298</v>
      </c>
      <c r="P146" s="23">
        <f>P145+P144</f>
        <v>2203797.705</v>
      </c>
      <c r="Q146" s="1"/>
      <c r="R146" s="1"/>
      <c r="S146" s="1"/>
      <c r="T146" s="1"/>
      <c r="U146" s="1"/>
      <c r="V146" s="1"/>
    </row>
    <row r="147" ht="15.75" customHeight="1">
      <c r="N147" s="1"/>
      <c r="O147" s="1" t="s">
        <v>314</v>
      </c>
      <c r="P147" s="125">
        <f>P144/-P97</f>
        <v>1.259342393</v>
      </c>
      <c r="Q147" s="1"/>
      <c r="R147" s="1"/>
      <c r="S147" s="1"/>
      <c r="T147" s="1"/>
      <c r="U147" s="1"/>
      <c r="V147" s="1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