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 and Uses Existing" sheetId="1" r:id="rId5"/>
    <sheet state="visible" name="Payroll" sheetId="2" r:id="rId6"/>
    <sheet state="visible" name="Sources and Uses New" sheetId="3" r:id="rId7"/>
    <sheet state="visible" name="Proforma" sheetId="4" r:id="rId8"/>
    <sheet state="visible" name="Proforma New Build" sheetId="5" r:id="rId9"/>
    <sheet state="visible" name="Bank Proforma" sheetId="6" r:id="rId10"/>
    <sheet state="visible" name="3 Year Proforma" sheetId="7" r:id="rId11"/>
    <sheet state="visible" name="Reimbursements" sheetId="8" r:id="rId12"/>
    <sheet state="visible" name="Capital Stack" sheetId="9" r:id="rId13"/>
  </sheets>
  <definedNames>
    <definedName hidden="1" localSheetId="8" name="_xlnm._FilterDatabase">'Capital Stack'!$A$1:$J$16</definedName>
  </definedNames>
  <calcPr/>
</workbook>
</file>

<file path=xl/sharedStrings.xml><?xml version="1.0" encoding="utf-8"?>
<sst xmlns="http://schemas.openxmlformats.org/spreadsheetml/2006/main" count="427" uniqueCount="221">
  <si>
    <t>Sources and Uses of Funds</t>
  </si>
  <si>
    <t>Acquisition Assumptions</t>
  </si>
  <si>
    <t>Lender</t>
  </si>
  <si>
    <t>Amount</t>
  </si>
  <si>
    <t>Interest Rate</t>
  </si>
  <si>
    <t>Term</t>
  </si>
  <si>
    <t>Monthly Payment</t>
  </si>
  <si>
    <t>Principal Reduction</t>
  </si>
  <si>
    <t>Year 1</t>
  </si>
  <si>
    <t>Year 2</t>
  </si>
  <si>
    <t>Year 3</t>
  </si>
  <si>
    <t>Year 4</t>
  </si>
  <si>
    <t>Year 5</t>
  </si>
  <si>
    <t>Total Project Cost</t>
  </si>
  <si>
    <t>1st Position</t>
  </si>
  <si>
    <t>1st Position Loan (Bank)</t>
  </si>
  <si>
    <t>2nd Position</t>
  </si>
  <si>
    <t>2nd Position Loan (SBA)</t>
  </si>
  <si>
    <t>Seller</t>
  </si>
  <si>
    <t>3rd Position Seller Finance</t>
  </si>
  <si>
    <t>Total</t>
  </si>
  <si>
    <t>Monthly Debt Service</t>
  </si>
  <si>
    <t>Total Principal Reduction</t>
  </si>
  <si>
    <t>Total Debt</t>
  </si>
  <si>
    <t>Annual Debt Service</t>
  </si>
  <si>
    <t>Loan Balance</t>
  </si>
  <si>
    <t>Down Payment</t>
  </si>
  <si>
    <t>Reserve</t>
  </si>
  <si>
    <t>Fees</t>
  </si>
  <si>
    <t>Total Equity</t>
  </si>
  <si>
    <t>Total Sources and Uses</t>
  </si>
  <si>
    <t>Bank Fees</t>
  </si>
  <si>
    <t>Bank Required Down Payment</t>
  </si>
  <si>
    <t>Vega Capital Markets Fee</t>
  </si>
  <si>
    <t>Acquisition Fee</t>
  </si>
  <si>
    <t>Due Diligence Costs</t>
  </si>
  <si>
    <t xml:space="preserve">Total </t>
  </si>
  <si>
    <t>Closing Costs</t>
  </si>
  <si>
    <t>Value of Land</t>
  </si>
  <si>
    <t>Sale Price</t>
  </si>
  <si>
    <t>Share of Price</t>
  </si>
  <si>
    <t>Percent of Total</t>
  </si>
  <si>
    <t>Percent Required of Purchase Price</t>
  </si>
  <si>
    <t>Purchase Price</t>
  </si>
  <si>
    <t>Rob Hanks</t>
  </si>
  <si>
    <t>Construction</t>
  </si>
  <si>
    <t>Greg Waddoups</t>
  </si>
  <si>
    <t>Fund II</t>
  </si>
  <si>
    <t>Down @ 25%</t>
  </si>
  <si>
    <t>Crawford</t>
  </si>
  <si>
    <t>Down @ 30%</t>
  </si>
  <si>
    <t>Mike Peterson</t>
  </si>
  <si>
    <t>Position</t>
  </si>
  <si>
    <t>Employee</t>
  </si>
  <si>
    <t>Pay Period Earnings ($)</t>
  </si>
  <si>
    <t>Annualized Pay ($)</t>
  </si>
  <si>
    <t>Notes</t>
  </si>
  <si>
    <t>Payroll needed for new facility</t>
  </si>
  <si>
    <t>Administrator</t>
  </si>
  <si>
    <t>Shauna Keadle</t>
  </si>
  <si>
    <t>Caregiver</t>
  </si>
  <si>
    <t>Tailynn Burcham</t>
  </si>
  <si>
    <t>Maria Diaz</t>
  </si>
  <si>
    <t>Tamara Hewett</t>
  </si>
  <si>
    <t>Melissa Hilton</t>
  </si>
  <si>
    <t>Austin Hoskins</t>
  </si>
  <si>
    <t>Joel Nangitngitan</t>
  </si>
  <si>
    <t>Karen Njoroge</t>
  </si>
  <si>
    <t>Paul Piperata</t>
  </si>
  <si>
    <t>Garry Ramos</t>
  </si>
  <si>
    <t>Michelle Rodriguez</t>
  </si>
  <si>
    <t>Ervina Tacheene</t>
  </si>
  <si>
    <t>Aliyah Wright</t>
  </si>
  <si>
    <t>Activities Director</t>
  </si>
  <si>
    <t>Alyssa Gutierrez</t>
  </si>
  <si>
    <t>Nurse</t>
  </si>
  <si>
    <t>Klaudia McClory</t>
  </si>
  <si>
    <t>Why full time nurse? Required by law? According to ChatGPT. No</t>
  </si>
  <si>
    <t>Assistant Caregiver</t>
  </si>
  <si>
    <t>Gabrielle McCloskey</t>
  </si>
  <si>
    <t>Kiersten Tsosie</t>
  </si>
  <si>
    <t>Cook</t>
  </si>
  <si>
    <t>Kayla Hines</t>
  </si>
  <si>
    <t>Andrew Sala</t>
  </si>
  <si>
    <t>Why two cooks</t>
  </si>
  <si>
    <t xml:space="preserve">Need to cut? </t>
  </si>
  <si>
    <t>New Building</t>
  </si>
  <si>
    <t>Land Cost</t>
  </si>
  <si>
    <t>&lt;--- included in purchase price</t>
  </si>
  <si>
    <t>Building Cost</t>
  </si>
  <si>
    <t>Soft Costs</t>
  </si>
  <si>
    <t>Square Feet of New Building</t>
  </si>
  <si>
    <t>Estimated Construction Costs</t>
  </si>
  <si>
    <t>Construction Plans</t>
  </si>
  <si>
    <t>3 Year Historicals (Actuals)</t>
  </si>
  <si>
    <t>22 rooms 24 beds</t>
  </si>
  <si>
    <t>Year</t>
  </si>
  <si>
    <t>2025 YTD (Sept)</t>
  </si>
  <si>
    <t>Proforma Year 1</t>
  </si>
  <si>
    <t>Proforma Year 2</t>
  </si>
  <si>
    <t>Proforma Year 3</t>
  </si>
  <si>
    <t>Proforma Year 4</t>
  </si>
  <si>
    <t>Proforma Year 5</t>
  </si>
  <si>
    <t>Potential Income</t>
  </si>
  <si>
    <t>Vacancy</t>
  </si>
  <si>
    <t>Income</t>
  </si>
  <si>
    <t>Day Care</t>
  </si>
  <si>
    <t>Other Income</t>
  </si>
  <si>
    <t>Rental Income</t>
  </si>
  <si>
    <t>Move In Fees</t>
  </si>
  <si>
    <t>Total Income</t>
  </si>
  <si>
    <t>Expenses</t>
  </si>
  <si>
    <t>Accounting</t>
  </si>
  <si>
    <t>Advertising/Promotional</t>
  </si>
  <si>
    <t>Bank Charges</t>
  </si>
  <si>
    <t>Business licenses/Permits</t>
  </si>
  <si>
    <t>Nursing</t>
  </si>
  <si>
    <t>Dietician</t>
  </si>
  <si>
    <t>Dues &amp; Subscriptions</t>
  </si>
  <si>
    <t>Administrator Expense</t>
  </si>
  <si>
    <t>Employee Expenses</t>
  </si>
  <si>
    <t>Franchise Fees</t>
  </si>
  <si>
    <t>Cleaning</t>
  </si>
  <si>
    <t>Household Supplies</t>
  </si>
  <si>
    <t>Management Fees</t>
  </si>
  <si>
    <t>General business expenses</t>
  </si>
  <si>
    <t>Insurance</t>
  </si>
  <si>
    <t>Liability insurance</t>
  </si>
  <si>
    <t>Property insurance</t>
  </si>
  <si>
    <t>Lease Payments - Equipment</t>
  </si>
  <si>
    <t>Medical Supplies</t>
  </si>
  <si>
    <t>Office expenses</t>
  </si>
  <si>
    <t>Operations Contract Service</t>
  </si>
  <si>
    <t>Placement Fees</t>
  </si>
  <si>
    <t>Raw Food</t>
  </si>
  <si>
    <t>Repairs &amp; maintenance</t>
  </si>
  <si>
    <t>Resident Activities</t>
  </si>
  <si>
    <t>Taxes paid</t>
  </si>
  <si>
    <t>Property taxes</t>
  </si>
  <si>
    <t>Personal Property Taxes</t>
  </si>
  <si>
    <t>Travel/Vehicle</t>
  </si>
  <si>
    <t>Utilities</t>
  </si>
  <si>
    <t>Misc Expense</t>
  </si>
  <si>
    <t>Total Expenses</t>
  </si>
  <si>
    <t>Net Operating Income</t>
  </si>
  <si>
    <t>Cap Rate</t>
  </si>
  <si>
    <t>Expense Ratio</t>
  </si>
  <si>
    <t>Misc Unforseen/Reserves</t>
  </si>
  <si>
    <t>Mortgage</t>
  </si>
  <si>
    <t>Asset Management Fees</t>
  </si>
  <si>
    <t>Net Cash Fow</t>
  </si>
  <si>
    <t>Return</t>
  </si>
  <si>
    <t>Sale Costs</t>
  </si>
  <si>
    <t>Net Proceeds</t>
  </si>
  <si>
    <t>2025 Annualized</t>
  </si>
  <si>
    <t>2025 YTD (march)</t>
  </si>
  <si>
    <t>$ -</t>
  </si>
  <si>
    <t>Proforma</t>
  </si>
  <si>
    <t>Actuals</t>
  </si>
  <si>
    <t>Gross Potential Rent</t>
  </si>
  <si>
    <t>Vacancy @ 5%</t>
  </si>
  <si>
    <t>Effective Gross Income</t>
  </si>
  <si>
    <t>Excluded Expenses</t>
  </si>
  <si>
    <t>Owner HSA</t>
  </si>
  <si>
    <t>Owner Life Insurance</t>
  </si>
  <si>
    <t>Owner Salary</t>
  </si>
  <si>
    <t>Owner Vehicle</t>
  </si>
  <si>
    <t>Owner Storage Unit</t>
  </si>
  <si>
    <t>Owner Short Term Interst</t>
  </si>
  <si>
    <t>Owner Other Income</t>
  </si>
  <si>
    <t>Owner Mortgage Payment</t>
  </si>
  <si>
    <t>Check</t>
  </si>
  <si>
    <t>Deposited to</t>
  </si>
  <si>
    <t>Earnest Money</t>
  </si>
  <si>
    <t>Cory 1031 Money</t>
  </si>
  <si>
    <t>Apprisal</t>
  </si>
  <si>
    <t>Inspection</t>
  </si>
  <si>
    <t>Environmental</t>
  </si>
  <si>
    <t>Investor</t>
  </si>
  <si>
    <t>Name/Entity</t>
  </si>
  <si>
    <t>Final Ownership</t>
  </si>
  <si>
    <t>Ownership</t>
  </si>
  <si>
    <t>Email</t>
  </si>
  <si>
    <t>Identifier</t>
  </si>
  <si>
    <t>Signed Docs</t>
  </si>
  <si>
    <t>Wire</t>
  </si>
  <si>
    <t>Both</t>
  </si>
  <si>
    <t>Remaining</t>
  </si>
  <si>
    <t>Reached out</t>
  </si>
  <si>
    <t xml:space="preserve">Followed up. </t>
  </si>
  <si>
    <t>Cam Cope</t>
  </si>
  <si>
    <t>Maybe</t>
  </si>
  <si>
    <t>Bryan Griffiths</t>
  </si>
  <si>
    <t>Alex Smith</t>
  </si>
  <si>
    <t>Randy Clayton</t>
  </si>
  <si>
    <t>Ben Clayton</t>
  </si>
  <si>
    <t>Jeff Meihoffer</t>
  </si>
  <si>
    <t>Rich Toloti</t>
  </si>
  <si>
    <t>Woody Klemetson</t>
  </si>
  <si>
    <t>Sterling Snow</t>
  </si>
  <si>
    <t>Blakely Cragun</t>
  </si>
  <si>
    <t>Adam and Andrew Law</t>
  </si>
  <si>
    <t>Ray Dodd</t>
  </si>
  <si>
    <t>Todd Orullian</t>
  </si>
  <si>
    <t>Adam Christensen</t>
  </si>
  <si>
    <t>Matt Boardman</t>
  </si>
  <si>
    <t>Scott Eliason</t>
  </si>
  <si>
    <t>Devin Deaton</t>
  </si>
  <si>
    <t>No</t>
  </si>
  <si>
    <t>Cameron Lee</t>
  </si>
  <si>
    <t>Eric Motzkus</t>
  </si>
  <si>
    <t>Aaron Meier</t>
  </si>
  <si>
    <t>Jon Waddoups</t>
  </si>
  <si>
    <t>Joel Reichert</t>
  </si>
  <si>
    <t>Brad and Emily Forsyth</t>
  </si>
  <si>
    <t>James Brewster</t>
  </si>
  <si>
    <t>Lance Jorgenson</t>
  </si>
  <si>
    <t>Dave Soper</t>
  </si>
  <si>
    <t>Potential Others</t>
  </si>
  <si>
    <t>American Enterprises</t>
  </si>
  <si>
    <t>Jake Despain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</si>
</sst>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&quot;$&quot;#,##0.00"/>
    <numFmt numFmtId="166" formatCode="&quot;$&quot;#,##0.0"/>
    <numFmt numFmtId="167" formatCode="&quot;$&quot;#,##0.00_);\(&quot;$&quot;#,##0.00\)"/>
    <numFmt numFmtId="168" formatCode="&quot;$&quot;#,##0_);\(&quot;$&quot;#,##0\)"/>
    <numFmt numFmtId="169" formatCode="&quot;$&quot;#,##0.00_);[Red]\(&quot;$&quot;#,##0.00\)"/>
    <numFmt numFmtId="170" formatCode="_([$$-409]* #,##0.00_);_([$$-409]* \(#,##0.00\);_([$$-409]* &quot;-&quot;??_);_(@_)"/>
    <numFmt numFmtId="171" formatCode="0.0000%"/>
    <numFmt numFmtId="172" formatCode="_(&quot;$&quot;* #,##0.00_);_(&quot;$&quot;* \(#,##0.00\);_(&quot;$&quot;* &quot;-&quot;??_);_(@_)"/>
    <numFmt numFmtId="173" formatCode="m\-d\-yy"/>
  </numFmts>
  <fonts count="27">
    <font>
      <sz val="10.0"/>
      <color rgb="FF000000"/>
      <name val="Arial"/>
      <scheme val="minor"/>
    </font>
    <font>
      <b/>
      <sz val="16.0"/>
      <color theme="1"/>
      <name val="Calibri"/>
    </font>
    <font>
      <b/>
      <sz val="11.0"/>
      <color rgb="FFFFFFFF"/>
      <name val="Calibri"/>
    </font>
    <font/>
    <font>
      <color theme="1"/>
      <name val="Arial"/>
    </font>
    <font>
      <sz val="11.0"/>
      <color theme="1"/>
      <name val="Calibri"/>
    </font>
    <font>
      <sz val="11.0"/>
      <color rgb="FF0000FF"/>
      <name val="Calibri"/>
    </font>
    <font>
      <sz val="11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FF0000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1.0"/>
      <color rgb="FF000000"/>
      <name val="Aptos Narrow"/>
    </font>
    <font>
      <sz val="10.0"/>
      <color rgb="FFFF0000"/>
      <name val="Arial"/>
    </font>
    <font>
      <b/>
      <sz val="11.0"/>
      <color rgb="FFFF0000"/>
      <name val="Arial"/>
    </font>
    <font>
      <b/>
      <color rgb="FFFFFFFF"/>
      <name val="Arial"/>
    </font>
    <font>
      <b/>
      <i/>
      <color theme="1"/>
      <name val="Arial"/>
    </font>
    <font>
      <b/>
      <u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396F"/>
        <bgColor rgb="FF00396F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rgb="FF92D050"/>
      </patternFill>
    </fill>
  </fills>
  <borders count="22">
    <border/>
    <border>
      <bottom style="thick">
        <color rgb="FF0072D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2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6" fillId="0" fontId="5" numFmtId="0" xfId="0" applyBorder="1" applyFont="1"/>
    <xf borderId="7" fillId="3" fontId="6" numFmtId="164" xfId="0" applyAlignment="1" applyBorder="1" applyFill="1" applyFont="1" applyNumberFormat="1">
      <alignment horizontal="right" readingOrder="0"/>
    </xf>
    <xf borderId="0" fillId="0" fontId="5" numFmtId="0" xfId="0" applyFont="1"/>
    <xf borderId="8" fillId="3" fontId="7" numFmtId="164" xfId="0" applyAlignment="1" applyBorder="1" applyFont="1" applyNumberFormat="1">
      <alignment horizontal="right"/>
    </xf>
    <xf borderId="0" fillId="0" fontId="8" numFmtId="10" xfId="0" applyAlignment="1" applyFont="1" applyNumberFormat="1">
      <alignment readingOrder="0"/>
    </xf>
    <xf borderId="0" fillId="0" fontId="8" numFmtId="0" xfId="0" applyFont="1"/>
    <xf borderId="0" fillId="0" fontId="8" numFmtId="165" xfId="0" applyFont="1" applyNumberFormat="1"/>
    <xf borderId="0" fillId="0" fontId="4" numFmtId="165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9" fillId="0" fontId="4" numFmtId="165" xfId="0" applyAlignment="1" applyBorder="1" applyFont="1" applyNumberFormat="1">
      <alignment horizontal="right" vertical="bottom"/>
    </xf>
    <xf borderId="7" fillId="3" fontId="6" numFmtId="9" xfId="0" applyAlignment="1" applyBorder="1" applyFont="1" applyNumberFormat="1">
      <alignment horizontal="right" readingOrder="0"/>
    </xf>
    <xf borderId="7" fillId="3" fontId="7" numFmtId="164" xfId="0" applyAlignment="1" applyBorder="1" applyFont="1" applyNumberFormat="1">
      <alignment horizontal="right" readingOrder="0"/>
    </xf>
    <xf borderId="9" fillId="0" fontId="5" numFmtId="0" xfId="0" applyBorder="1" applyFont="1"/>
    <xf borderId="10" fillId="3" fontId="7" numFmtId="164" xfId="0" applyAlignment="1" applyBorder="1" applyFont="1" applyNumberFormat="1">
      <alignment horizontal="right"/>
    </xf>
    <xf borderId="9" fillId="0" fontId="8" numFmtId="10" xfId="0" applyBorder="1" applyFont="1" applyNumberFormat="1"/>
    <xf borderId="9" fillId="0" fontId="8" numFmtId="0" xfId="0" applyBorder="1" applyFont="1"/>
    <xf borderId="9" fillId="0" fontId="8" numFmtId="165" xfId="0" applyBorder="1" applyFont="1" applyNumberFormat="1"/>
    <xf borderId="7" fillId="3" fontId="7" numFmtId="164" xfId="0" applyAlignment="1" applyBorder="1" applyFont="1" applyNumberFormat="1">
      <alignment horizontal="right"/>
    </xf>
    <xf borderId="0" fillId="0" fontId="9" numFmtId="0" xfId="0" applyFont="1"/>
    <xf borderId="9" fillId="0" fontId="8" numFmtId="10" xfId="0" applyAlignment="1" applyBorder="1" applyFont="1" applyNumberFormat="1">
      <alignment readingOrder="0"/>
    </xf>
    <xf borderId="9" fillId="0" fontId="10" numFmtId="0" xfId="0" applyBorder="1" applyFont="1"/>
    <xf borderId="0" fillId="0" fontId="8" numFmtId="164" xfId="0" applyFont="1" applyNumberFormat="1"/>
    <xf borderId="9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9" numFmtId="10" xfId="0" applyFont="1" applyNumberFormat="1"/>
    <xf borderId="7" fillId="3" fontId="6" numFmtId="10" xfId="0" applyAlignment="1" applyBorder="1" applyFont="1" applyNumberFormat="1">
      <alignment horizontal="right" readingOrder="0"/>
    </xf>
    <xf borderId="0" fillId="0" fontId="8" numFmtId="10" xfId="0" applyFont="1" applyNumberFormat="1"/>
    <xf borderId="0" fillId="0" fontId="8" numFmtId="165" xfId="0" applyAlignment="1" applyFont="1" applyNumberFormat="1">
      <alignment readingOrder="0"/>
    </xf>
    <xf borderId="7" fillId="3" fontId="6" numFmtId="10" xfId="0" applyAlignment="1" applyBorder="1" applyFont="1" applyNumberFormat="1">
      <alignment horizontal="right"/>
    </xf>
    <xf borderId="11" fillId="0" fontId="11" numFmtId="0" xfId="0" applyBorder="1" applyFont="1"/>
    <xf borderId="11" fillId="0" fontId="11" numFmtId="164" xfId="0" applyBorder="1" applyFont="1" applyNumberFormat="1"/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164" xfId="0" applyFont="1" applyNumberFormat="1"/>
    <xf borderId="0" fillId="0" fontId="9" numFmtId="165" xfId="0" applyFont="1" applyNumberFormat="1"/>
    <xf borderId="0" fillId="0" fontId="9" numFmtId="164" xfId="0" applyAlignment="1" applyFont="1" applyNumberFormat="1">
      <alignment readingOrder="0"/>
    </xf>
    <xf borderId="9" fillId="0" fontId="9" numFmtId="0" xfId="0" applyAlignment="1" applyBorder="1" applyFont="1">
      <alignment readingOrder="0"/>
    </xf>
    <xf borderId="9" fillId="0" fontId="9" numFmtId="165" xfId="0" applyAlignment="1" applyBorder="1" applyFont="1" applyNumberFormat="1">
      <alignment readingOrder="0"/>
    </xf>
    <xf borderId="9" fillId="0" fontId="9" numFmtId="164" xfId="0" applyBorder="1" applyFont="1" applyNumberFormat="1"/>
    <xf borderId="9" fillId="0" fontId="9" numFmtId="165" xfId="0" applyBorder="1" applyFont="1" applyNumberFormat="1"/>
    <xf borderId="9" fillId="0" fontId="9" numFmtId="0" xfId="0" applyBorder="1" applyFont="1"/>
    <xf borderId="9" fillId="0" fontId="9" numFmtId="10" xfId="0" applyBorder="1" applyFont="1" applyNumberFormat="1"/>
    <xf borderId="0" fillId="0" fontId="12" numFmtId="0" xfId="0" applyAlignment="1" applyFont="1">
      <alignment horizontal="center" readingOrder="0"/>
    </xf>
    <xf borderId="0" fillId="0" fontId="12" numFmtId="165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9" fillId="0" fontId="9" numFmtId="4" xfId="0" applyAlignment="1" applyBorder="1" applyFont="1" applyNumberFormat="1">
      <alignment readingOrder="0"/>
    </xf>
    <xf borderId="0" fillId="0" fontId="9" numFmtId="4" xfId="0" applyFont="1" applyNumberFormat="1"/>
    <xf borderId="2" fillId="2" fontId="2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horizontal="right" readingOrder="0" vertical="bottom"/>
    </xf>
    <xf borderId="11" fillId="0" fontId="13" numFmtId="0" xfId="0" applyAlignment="1" applyBorder="1" applyFont="1">
      <alignment vertical="bottom"/>
    </xf>
    <xf borderId="11" fillId="0" fontId="13" numFmtId="164" xfId="0" applyAlignment="1" applyBorder="1" applyFont="1" applyNumberFormat="1">
      <alignment horizontal="right" vertical="bottom"/>
    </xf>
    <xf borderId="9" fillId="0" fontId="4" numFmtId="3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readingOrder="0"/>
    </xf>
    <xf borderId="1" fillId="0" fontId="5" numFmtId="0" xfId="0" applyBorder="1" applyFont="1"/>
    <xf borderId="0" fillId="0" fontId="11" numFmtId="0" xfId="0" applyFont="1"/>
    <xf borderId="12" fillId="4" fontId="15" numFmtId="0" xfId="0" applyAlignment="1" applyBorder="1" applyFill="1" applyFont="1">
      <alignment horizontal="center" shrinkToFit="0" wrapText="1"/>
    </xf>
    <xf borderId="8" fillId="4" fontId="15" numFmtId="0" xfId="0" applyAlignment="1" applyBorder="1" applyFont="1">
      <alignment horizontal="center" shrinkToFit="0" wrapText="1"/>
    </xf>
    <xf borderId="8" fillId="4" fontId="15" numFmtId="0" xfId="0" applyAlignment="1" applyBorder="1" applyFont="1">
      <alignment horizontal="center" readingOrder="0" shrinkToFit="0" wrapText="1"/>
    </xf>
    <xf borderId="12" fillId="0" fontId="15" numFmtId="0" xfId="0" applyAlignment="1" applyBorder="1" applyFont="1">
      <alignment shrinkToFit="0" wrapText="1"/>
    </xf>
    <xf borderId="8" fillId="0" fontId="16" numFmtId="164" xfId="0" applyAlignment="1" applyBorder="1" applyFont="1" applyNumberFormat="1">
      <alignment shrinkToFit="0" wrapText="1"/>
    </xf>
    <xf borderId="8" fillId="0" fontId="16" numFmtId="165" xfId="0" applyAlignment="1" applyBorder="1" applyFont="1" applyNumberFormat="1">
      <alignment readingOrder="0" shrinkToFit="0" wrapText="1"/>
    </xf>
    <xf borderId="8" fillId="0" fontId="16" numFmtId="166" xfId="0" applyAlignment="1" applyBorder="1" applyFont="1" applyNumberFormat="1">
      <alignment readingOrder="0" shrinkToFit="0" wrapText="1"/>
    </xf>
    <xf borderId="8" fillId="0" fontId="16" numFmtId="167" xfId="0" applyAlignment="1" applyBorder="1" applyFont="1" applyNumberFormat="1">
      <alignment readingOrder="0" shrinkToFit="0" wrapText="1"/>
    </xf>
    <xf borderId="8" fillId="0" fontId="16" numFmtId="164" xfId="0" applyAlignment="1" applyBorder="1" applyFont="1" applyNumberFormat="1">
      <alignment readingOrder="0" shrinkToFit="0" wrapText="1"/>
    </xf>
    <xf borderId="8" fillId="0" fontId="16" numFmtId="167" xfId="0" applyAlignment="1" applyBorder="1" applyFont="1" applyNumberFormat="1">
      <alignment shrinkToFit="0" wrapText="1"/>
    </xf>
    <xf borderId="8" fillId="0" fontId="17" numFmtId="167" xfId="0" applyAlignment="1" applyBorder="1" applyFont="1" applyNumberFormat="1">
      <alignment readingOrder="0" shrinkToFit="0" wrapText="1"/>
    </xf>
    <xf borderId="0" fillId="0" fontId="10" numFmtId="0" xfId="0" applyFont="1"/>
    <xf borderId="12" fillId="5" fontId="15" numFmtId="0" xfId="0" applyAlignment="1" applyBorder="1" applyFill="1" applyFont="1">
      <alignment shrinkToFit="0" wrapText="1"/>
    </xf>
    <xf borderId="8" fillId="5" fontId="15" numFmtId="0" xfId="0" applyAlignment="1" applyBorder="1" applyFont="1">
      <alignment shrinkToFit="0" wrapText="1"/>
    </xf>
    <xf borderId="8" fillId="5" fontId="15" numFmtId="165" xfId="0" applyAlignment="1" applyBorder="1" applyFont="1" applyNumberFormat="1">
      <alignment shrinkToFit="0" wrapText="1"/>
    </xf>
    <xf borderId="8" fillId="0" fontId="18" numFmtId="167" xfId="0" applyAlignment="1" applyBorder="1" applyFont="1" applyNumberFormat="1">
      <alignment shrinkToFit="0" wrapText="1"/>
    </xf>
    <xf borderId="12" fillId="0" fontId="16" numFmtId="0" xfId="0" applyAlignment="1" applyBorder="1" applyFont="1">
      <alignment horizontal="left" shrinkToFit="0" wrapText="1"/>
    </xf>
    <xf borderId="8" fillId="0" fontId="8" numFmtId="168" xfId="0" applyBorder="1" applyFont="1" applyNumberFormat="1"/>
    <xf borderId="8" fillId="0" fontId="8" numFmtId="165" xfId="0" applyBorder="1" applyFont="1" applyNumberFormat="1"/>
    <xf borderId="8" fillId="0" fontId="8" numFmtId="168" xfId="0" applyAlignment="1" applyBorder="1" applyFont="1" applyNumberFormat="1">
      <alignment readingOrder="0"/>
    </xf>
    <xf borderId="8" fillId="0" fontId="8" numFmtId="165" xfId="0" applyAlignment="1" applyBorder="1" applyFont="1" applyNumberFormat="1">
      <alignment readingOrder="0"/>
    </xf>
    <xf borderId="8" fillId="0" fontId="19" numFmtId="169" xfId="0" applyAlignment="1" applyBorder="1" applyFont="1" applyNumberFormat="1">
      <alignment horizontal="right" shrinkToFit="0" wrapText="1"/>
    </xf>
    <xf borderId="8" fillId="0" fontId="19" numFmtId="165" xfId="0" applyAlignment="1" applyBorder="1" applyFont="1" applyNumberFormat="1">
      <alignment horizontal="right" shrinkToFit="0" wrapText="1"/>
    </xf>
    <xf borderId="8" fillId="5" fontId="15" numFmtId="168" xfId="0" applyAlignment="1" applyBorder="1" applyFont="1" applyNumberFormat="1">
      <alignment shrinkToFit="0" wrapText="1"/>
    </xf>
    <xf borderId="8" fillId="5" fontId="20" numFmtId="165" xfId="0" applyAlignment="1" applyBorder="1" applyFont="1" applyNumberFormat="1">
      <alignment shrinkToFit="0" wrapText="1"/>
    </xf>
    <xf borderId="8" fillId="5" fontId="15" numFmtId="164" xfId="0" applyAlignment="1" applyBorder="1" applyFont="1" applyNumberFormat="1">
      <alignment shrinkToFit="0" wrapText="1"/>
    </xf>
    <xf borderId="0" fillId="0" fontId="10" numFmtId="164" xfId="0" applyFont="1" applyNumberFormat="1"/>
    <xf borderId="12" fillId="0" fontId="21" numFmtId="0" xfId="0" applyAlignment="1" applyBorder="1" applyFont="1">
      <alignment shrinkToFit="0" wrapText="1"/>
    </xf>
    <xf borderId="8" fillId="0" fontId="22" numFmtId="168" xfId="0" applyBorder="1" applyFont="1" applyNumberFormat="1"/>
    <xf borderId="8" fillId="5" fontId="23" numFmtId="0" xfId="0" applyAlignment="1" applyBorder="1" applyFont="1">
      <alignment shrinkToFit="0" wrapText="1"/>
    </xf>
    <xf borderId="12" fillId="0" fontId="16" numFmtId="0" xfId="0" applyAlignment="1" applyBorder="1" applyFont="1">
      <alignment shrinkToFit="0" wrapText="1"/>
    </xf>
    <xf borderId="8" fillId="0" fontId="10" numFmtId="0" xfId="0" applyAlignment="1" applyBorder="1" applyFont="1">
      <alignment horizontal="right" shrinkToFit="0" wrapText="1"/>
    </xf>
    <xf borderId="8" fillId="0" fontId="10" numFmtId="167" xfId="0" applyAlignment="1" applyBorder="1" applyFont="1" applyNumberFormat="1">
      <alignment horizontal="right" readingOrder="0" shrinkToFit="0" wrapText="1"/>
    </xf>
    <xf borderId="8" fillId="0" fontId="8" numFmtId="167" xfId="0" applyAlignment="1" applyBorder="1" applyFont="1" applyNumberFormat="1">
      <alignment readingOrder="0"/>
    </xf>
    <xf borderId="8" fillId="0" fontId="10" numFmtId="169" xfId="0" applyAlignment="1" applyBorder="1" applyFont="1" applyNumberFormat="1">
      <alignment horizontal="right" shrinkToFit="0" wrapText="1"/>
    </xf>
    <xf borderId="8" fillId="0" fontId="10" numFmtId="167" xfId="0" applyAlignment="1" applyBorder="1" applyFont="1" applyNumberFormat="1">
      <alignment horizontal="right" shrinkToFit="0" wrapText="1"/>
    </xf>
    <xf borderId="8" fillId="0" fontId="22" numFmtId="167" xfId="0" applyAlignment="1" applyBorder="1" applyFont="1" applyNumberFormat="1">
      <alignment readingOrder="0"/>
    </xf>
    <xf borderId="8" fillId="0" fontId="8" numFmtId="167" xfId="0" applyBorder="1" applyFont="1" applyNumberFormat="1"/>
    <xf borderId="8" fillId="0" fontId="22" numFmtId="167" xfId="0" applyBorder="1" applyFont="1" applyNumberFormat="1"/>
    <xf borderId="8" fillId="6" fontId="8" numFmtId="168" xfId="0" applyBorder="1" applyFill="1" applyFont="1" applyNumberFormat="1"/>
    <xf borderId="8" fillId="7" fontId="8" numFmtId="168" xfId="0" applyAlignment="1" applyBorder="1" applyFill="1" applyFont="1" applyNumberFormat="1">
      <alignment readingOrder="0"/>
    </xf>
    <xf borderId="0" fillId="0" fontId="10" numFmtId="167" xfId="0" applyFont="1" applyNumberFormat="1"/>
    <xf borderId="12" fillId="0" fontId="17" numFmtId="0" xfId="0" applyAlignment="1" applyBorder="1" applyFont="1">
      <alignment shrinkToFit="0" wrapText="1"/>
    </xf>
    <xf borderId="0" fillId="0" fontId="10" numFmtId="165" xfId="0" applyFont="1" applyNumberFormat="1"/>
    <xf borderId="8" fillId="0" fontId="10" numFmtId="169" xfId="0" applyAlignment="1" applyBorder="1" applyFont="1" applyNumberFormat="1">
      <alignment horizontal="right" readingOrder="0" shrinkToFit="0" wrapText="1"/>
    </xf>
    <xf borderId="8" fillId="0" fontId="10" numFmtId="167" xfId="0" applyAlignment="1" applyBorder="1" applyFont="1" applyNumberFormat="1">
      <alignment readingOrder="0" shrinkToFit="0" wrapText="1"/>
    </xf>
    <xf borderId="0" fillId="0" fontId="8" numFmtId="168" xfId="0" applyFont="1" applyNumberFormat="1"/>
    <xf borderId="0" fillId="0" fontId="10" numFmtId="168" xfId="0" applyFont="1" applyNumberFormat="1"/>
    <xf borderId="8" fillId="0" fontId="10" numFmtId="0" xfId="0" applyAlignment="1" applyBorder="1" applyFont="1">
      <alignment shrinkToFit="0" wrapText="1"/>
    </xf>
    <xf borderId="12" fillId="4" fontId="15" numFmtId="0" xfId="0" applyAlignment="1" applyBorder="1" applyFont="1">
      <alignment shrinkToFit="0" wrapText="1"/>
    </xf>
    <xf borderId="8" fillId="4" fontId="11" numFmtId="168" xfId="0" applyBorder="1" applyFont="1" applyNumberFormat="1"/>
    <xf borderId="8" fillId="4" fontId="11" numFmtId="167" xfId="0" applyBorder="1" applyFont="1" applyNumberFormat="1"/>
    <xf borderId="8" fillId="4" fontId="11" numFmtId="165" xfId="0" applyBorder="1" applyFont="1" applyNumberFormat="1"/>
    <xf borderId="12" fillId="0" fontId="9" numFmtId="0" xfId="0" applyBorder="1" applyFont="1"/>
    <xf borderId="12" fillId="0" fontId="10" numFmtId="0" xfId="0" applyBorder="1" applyFont="1"/>
    <xf borderId="8" fillId="0" fontId="8" numFmtId="10" xfId="0" applyBorder="1" applyFont="1" applyNumberFormat="1"/>
    <xf borderId="12" fillId="0" fontId="8" numFmtId="0" xfId="0" applyAlignment="1" applyBorder="1" applyFont="1">
      <alignment readingOrder="0"/>
    </xf>
    <xf borderId="12" fillId="0" fontId="8" numFmtId="0" xfId="0" applyBorder="1" applyFont="1"/>
    <xf borderId="13" fillId="0" fontId="8" numFmtId="168" xfId="0" applyAlignment="1" applyBorder="1" applyFont="1" applyNumberFormat="1">
      <alignment readingOrder="0"/>
    </xf>
    <xf borderId="13" fillId="0" fontId="8" numFmtId="168" xfId="0" applyBorder="1" applyFont="1" applyNumberFormat="1"/>
    <xf borderId="0" fillId="0" fontId="11" numFmtId="168" xfId="0" applyFont="1" applyNumberFormat="1"/>
    <xf borderId="0" fillId="0" fontId="11" numFmtId="167" xfId="0" applyFont="1" applyNumberFormat="1"/>
    <xf borderId="14" fillId="0" fontId="11" numFmtId="168" xfId="0" applyBorder="1" applyFont="1" applyNumberFormat="1"/>
    <xf borderId="11" fillId="0" fontId="11" numFmtId="168" xfId="0" applyBorder="1" applyFont="1" applyNumberFormat="1"/>
    <xf borderId="15" fillId="0" fontId="11" numFmtId="168" xfId="0" applyBorder="1" applyFont="1" applyNumberFormat="1"/>
    <xf borderId="0" fillId="0" fontId="9" numFmtId="164" xfId="0" applyFont="1" applyNumberFormat="1"/>
    <xf borderId="0" fillId="0" fontId="9" numFmtId="10" xfId="0" applyAlignment="1" applyFont="1" applyNumberFormat="1">
      <alignment readingOrder="0"/>
    </xf>
    <xf borderId="16" fillId="0" fontId="10" numFmtId="167" xfId="0" applyBorder="1" applyFont="1" applyNumberFormat="1"/>
    <xf borderId="6" fillId="0" fontId="10" numFmtId="167" xfId="0" applyBorder="1" applyFont="1" applyNumberFormat="1"/>
    <xf borderId="0" fillId="0" fontId="10" numFmtId="10" xfId="0" applyFont="1" applyNumberFormat="1"/>
    <xf borderId="17" fillId="0" fontId="19" numFmtId="10" xfId="0" applyBorder="1" applyFont="1" applyNumberFormat="1"/>
    <xf borderId="9" fillId="0" fontId="19" numFmtId="10" xfId="0" applyBorder="1" applyFont="1" applyNumberFormat="1"/>
    <xf borderId="18" fillId="0" fontId="19" numFmtId="10" xfId="0" applyBorder="1" applyFont="1" applyNumberFormat="1"/>
    <xf borderId="0" fillId="0" fontId="9" numFmtId="168" xfId="0" applyFont="1" applyNumberFormat="1"/>
    <xf borderId="0" fillId="0" fontId="9" numFmtId="0" xfId="0" applyAlignment="1" applyFont="1">
      <alignment horizontal="right"/>
    </xf>
    <xf borderId="0" fillId="0" fontId="9" numFmtId="165" xfId="0" applyFont="1" applyNumberFormat="1"/>
    <xf borderId="0" fillId="0" fontId="9" numFmtId="167" xfId="0" applyFont="1" applyNumberFormat="1"/>
    <xf borderId="8" fillId="8" fontId="8" numFmtId="168" xfId="0" applyAlignment="1" applyBorder="1" applyFill="1" applyFont="1" applyNumberFormat="1">
      <alignment readingOrder="0"/>
    </xf>
    <xf borderId="8" fillId="6" fontId="8" numFmtId="167" xfId="0" applyBorder="1" applyFont="1" applyNumberFormat="1"/>
    <xf borderId="8" fillId="6" fontId="8" numFmtId="168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9" fillId="9" fontId="24" numFmtId="0" xfId="0" applyAlignment="1" applyBorder="1" applyFill="1" applyFont="1">
      <alignment horizontal="center" vertical="bottom"/>
    </xf>
    <xf borderId="20" fillId="10" fontId="25" numFmtId="0" xfId="0" applyAlignment="1" applyBorder="1" applyFill="1" applyFont="1">
      <alignment vertical="bottom"/>
    </xf>
    <xf borderId="19" fillId="10" fontId="25" numFmtId="168" xfId="0" applyAlignment="1" applyBorder="1" applyFont="1" applyNumberFormat="1">
      <alignment horizontal="right" vertical="bottom"/>
    </xf>
    <xf borderId="20" fillId="10" fontId="25" numFmtId="168" xfId="0" applyAlignment="1" applyBorder="1" applyFont="1" applyNumberForma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4" numFmtId="168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21" fillId="0" fontId="13" numFmtId="0" xfId="0" applyAlignment="1" applyBorder="1" applyFont="1">
      <alignment vertical="bottom"/>
    </xf>
    <xf borderId="21" fillId="0" fontId="13" numFmtId="168" xfId="0" applyAlignment="1" applyBorder="1" applyFont="1" applyNumberFormat="1">
      <alignment horizontal="right" vertical="bottom"/>
    </xf>
    <xf borderId="21" fillId="0" fontId="4" numFmtId="168" xfId="0" applyAlignment="1" applyBorder="1" applyFont="1" applyNumberFormat="1">
      <alignment vertical="bottom"/>
    </xf>
    <xf borderId="14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1" fillId="0" fontId="4" numFmtId="168" xfId="0" applyAlignment="1" applyBorder="1" applyFont="1" applyNumberFormat="1">
      <alignment vertical="bottom"/>
    </xf>
    <xf borderId="15" fillId="0" fontId="4" numFmtId="168" xfId="0" applyAlignment="1" applyBorder="1" applyFont="1" applyNumberFormat="1">
      <alignment vertical="bottom"/>
    </xf>
    <xf borderId="16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6" fillId="0" fontId="4" numFmtId="164" xfId="0" applyAlignment="1" applyBorder="1" applyFont="1" applyNumberFormat="1">
      <alignment vertical="bottom"/>
    </xf>
    <xf borderId="17" fillId="0" fontId="4" numFmtId="0" xfId="0" applyAlignment="1" applyBorder="1" applyFont="1">
      <alignment vertical="bottom"/>
    </xf>
    <xf borderId="9" fillId="0" fontId="4" numFmtId="164" xfId="0" applyAlignment="1" applyBorder="1" applyFont="1" applyNumberFormat="1">
      <alignment vertical="bottom"/>
    </xf>
    <xf borderId="18" fillId="0" fontId="4" numFmtId="164" xfId="0" applyAlignment="1" applyBorder="1" applyFont="1" applyNumberFormat="1">
      <alignment vertical="bottom"/>
    </xf>
    <xf borderId="0" fillId="0" fontId="4" numFmtId="170" xfId="0" applyAlignment="1" applyFont="1" applyNumberFormat="1">
      <alignment vertical="bottom"/>
    </xf>
    <xf borderId="9" fillId="0" fontId="13" numFmtId="0" xfId="0" applyAlignment="1" applyBorder="1" applyFont="1">
      <alignment vertical="bottom"/>
    </xf>
    <xf borderId="9" fillId="0" fontId="13" numFmtId="164" xfId="0" applyAlignment="1" applyBorder="1" applyFont="1" applyNumberFormat="1">
      <alignment horizontal="center" vertical="bottom"/>
    </xf>
    <xf borderId="8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4" numFmtId="17" xfId="0" applyAlignment="1" applyFont="1" applyNumberFormat="1">
      <alignment vertical="bottom"/>
    </xf>
    <xf borderId="8" fillId="0" fontId="4" numFmtId="0" xfId="0" applyAlignment="1" applyBorder="1" applyFont="1">
      <alignment vertical="bottom"/>
    </xf>
    <xf borderId="8" fillId="0" fontId="4" numFmtId="171" xfId="0" applyAlignment="1" applyBorder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4" numFmtId="172" xfId="0" applyAlignment="1" applyFont="1" applyNumberFormat="1">
      <alignment vertical="bottom"/>
    </xf>
    <xf borderId="5" fillId="11" fontId="4" numFmtId="0" xfId="0" applyAlignment="1" applyBorder="1" applyFill="1" applyFont="1">
      <alignment vertical="bottom"/>
    </xf>
    <xf borderId="5" fillId="11" fontId="4" numFmtId="164" xfId="0" applyAlignment="1" applyBorder="1" applyFont="1" applyNumberFormat="1">
      <alignment vertical="bottom"/>
    </xf>
    <xf borderId="19" fillId="11" fontId="4" numFmtId="0" xfId="0" applyAlignment="1" applyBorder="1" applyFont="1">
      <alignment vertical="bottom"/>
    </xf>
    <xf borderId="19" fillId="11" fontId="4" numFmtId="164" xfId="0" applyAlignment="1" applyBorder="1" applyFont="1" applyNumberFormat="1">
      <alignment vertical="bottom"/>
    </xf>
    <xf borderId="9" fillId="0" fontId="4" numFmtId="0" xfId="0" applyAlignment="1" applyBorder="1" applyFont="1">
      <alignment vertical="bottom"/>
    </xf>
    <xf borderId="8" fillId="0" fontId="4" numFmtId="171" xfId="0" applyAlignment="1" applyBorder="1" applyFont="1" applyNumberFormat="1">
      <alignment horizontal="right" vertical="bottom"/>
    </xf>
    <xf borderId="9" fillId="0" fontId="4" numFmtId="164" xfId="0" applyAlignment="1" applyBorder="1" applyFont="1" applyNumberFormat="1">
      <alignment horizontal="right" vertical="bottom"/>
    </xf>
    <xf borderId="0" fillId="0" fontId="26" numFmtId="0" xfId="0" applyAlignment="1" applyFont="1">
      <alignment vertical="bottom"/>
    </xf>
    <xf borderId="0" fillId="0" fontId="4" numFmtId="173" xfId="0" applyAlignment="1" applyFont="1" applyNumberFormat="1">
      <alignment horizontal="right" vertical="bottom"/>
    </xf>
    <xf borderId="0" fillId="0" fontId="4" numFmtId="17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j83xujBjiRdoN-ZCD0wLhRgCX_l1-LE/view?usp=drive_link" TargetMode="External"/><Relationship Id="rId2" Type="http://schemas.openxmlformats.org/officeDocument/2006/relationships/hyperlink" Target="https://drive.google.com/file/d/1XkLoMeiiN_nVrbLGLThO-RPA3SuXtbMX/view?usp=drive_lin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33.13"/>
    <col customWidth="1" min="3" max="3" width="8.88"/>
    <col customWidth="1" min="4" max="4" width="12.5"/>
    <col customWidth="1" min="5" max="5" width="2.88"/>
    <col customWidth="1" min="6" max="6" width="30.38"/>
    <col customWidth="1" min="7" max="8" width="12.5"/>
    <col customWidth="1" min="9" max="9" width="20.25"/>
    <col customWidth="1" min="10" max="10" width="14.5"/>
    <col customWidth="1" min="11" max="11" width="3.13"/>
    <col customWidth="1" min="12" max="12" width="19.38"/>
    <col customWidth="1" min="13" max="18" width="12.5"/>
  </cols>
  <sheetData>
    <row r="1" ht="15.75" customHeight="1"/>
    <row r="2" ht="15.75" customHeight="1">
      <c r="B2" s="1" t="s">
        <v>0</v>
      </c>
      <c r="C2" s="1"/>
      <c r="D2" s="1"/>
      <c r="E2" s="1"/>
      <c r="F2" s="1"/>
      <c r="G2" s="1"/>
    </row>
    <row r="3" ht="15.75" customHeight="1"/>
    <row r="4" ht="15.75" customHeight="1">
      <c r="B4" s="2" t="s">
        <v>1</v>
      </c>
      <c r="C4" s="3"/>
      <c r="D4" s="4"/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6"/>
      <c r="L4" s="7" t="s">
        <v>7</v>
      </c>
      <c r="M4" s="8" t="s">
        <v>8</v>
      </c>
      <c r="N4" s="8" t="s">
        <v>9</v>
      </c>
      <c r="O4" s="8" t="s">
        <v>10</v>
      </c>
      <c r="P4" s="8" t="s">
        <v>11</v>
      </c>
      <c r="Q4" s="9" t="s">
        <v>12</v>
      </c>
    </row>
    <row r="5" ht="15.75" customHeight="1">
      <c r="B5" s="10" t="s">
        <v>13</v>
      </c>
      <c r="C5" s="10"/>
      <c r="D5" s="11">
        <f>4200000-G27</f>
        <v>3700000</v>
      </c>
      <c r="F5" s="12" t="s">
        <v>14</v>
      </c>
      <c r="G5" s="13">
        <f t="shared" ref="G5:G7" si="1">D6</f>
        <v>2775000</v>
      </c>
      <c r="H5" s="14">
        <v>0.065</v>
      </c>
      <c r="I5" s="15">
        <v>25.0</v>
      </c>
      <c r="J5" s="16">
        <f>PMT(H5/12,I5*12,-G5,0,0)</f>
        <v>18736.99873</v>
      </c>
      <c r="K5" s="17"/>
      <c r="L5" s="18"/>
      <c r="M5" s="19">
        <f t="shared" ref="M5:M7" si="2">iferror(CUMPRINC(H5/12,I5*12,G5,1,12,0),"")</f>
        <v>-45818.00406</v>
      </c>
      <c r="N5" s="19">
        <f t="shared" ref="N5:N7" si="3">iferror(CUMPRINC(H5/12,I5*12,G5,13,24,0),"")</f>
        <v>-48886.52065</v>
      </c>
      <c r="O5" s="19">
        <f t="shared" ref="O5:O7" si="4">iferror(CUMPRINC(H5/12,I5*12,G5,25,36,0),"")</f>
        <v>-52160.54147</v>
      </c>
      <c r="P5" s="19">
        <f t="shared" ref="P5:P7" si="5">iferror(CUMPRINC(H5/12,I5*12,G5,37,48,0),"")</f>
        <v>-55653.82954</v>
      </c>
      <c r="Q5" s="19">
        <f t="shared" ref="Q5:Q7" si="6">iferror(CUMPRINC(H5/12,I5*12,G5,49,60,0),"")</f>
        <v>-59381.06957</v>
      </c>
    </row>
    <row r="6" ht="15.75" customHeight="1">
      <c r="B6" s="10" t="s">
        <v>15</v>
      </c>
      <c r="C6" s="20">
        <v>0.75</v>
      </c>
      <c r="D6" s="21">
        <f>C6*D5</f>
        <v>2775000</v>
      </c>
      <c r="F6" s="22" t="s">
        <v>16</v>
      </c>
      <c r="G6" s="23">
        <f t="shared" si="1"/>
        <v>0</v>
      </c>
      <c r="H6" s="24">
        <v>0.0675</v>
      </c>
      <c r="I6" s="25">
        <v>25.0</v>
      </c>
      <c r="J6" s="26">
        <f t="shared" ref="J6:J7" si="7">PMT(H6/12,I6*12,-G6,0,1)</f>
        <v>0</v>
      </c>
      <c r="K6" s="17"/>
      <c r="L6" s="18"/>
      <c r="M6" s="19" t="str">
        <f t="shared" si="2"/>
        <v/>
      </c>
      <c r="N6" s="19" t="str">
        <f t="shared" si="3"/>
        <v/>
      </c>
      <c r="O6" s="19" t="str">
        <f t="shared" si="4"/>
        <v/>
      </c>
      <c r="P6" s="19" t="str">
        <f t="shared" si="5"/>
        <v/>
      </c>
      <c r="Q6" s="19" t="str">
        <f t="shared" si="6"/>
        <v/>
      </c>
    </row>
    <row r="7" ht="15.75" customHeight="1">
      <c r="B7" s="10" t="s">
        <v>17</v>
      </c>
      <c r="C7" s="20">
        <v>0.0</v>
      </c>
      <c r="D7" s="27">
        <f>C7*D5</f>
        <v>0</v>
      </c>
      <c r="F7" s="28" t="s">
        <v>18</v>
      </c>
      <c r="G7" s="23">
        <f t="shared" si="1"/>
        <v>0</v>
      </c>
      <c r="H7" s="29">
        <v>0.05</v>
      </c>
      <c r="I7" s="30">
        <v>25.0</v>
      </c>
      <c r="J7" s="26">
        <f t="shared" si="7"/>
        <v>0</v>
      </c>
      <c r="K7" s="18"/>
      <c r="L7" s="18"/>
      <c r="M7" s="18" t="str">
        <f t="shared" si="2"/>
        <v/>
      </c>
      <c r="N7" s="18" t="str">
        <f t="shared" si="3"/>
        <v/>
      </c>
      <c r="O7" s="18" t="str">
        <f t="shared" si="4"/>
        <v/>
      </c>
      <c r="P7" s="18" t="str">
        <f t="shared" si="5"/>
        <v/>
      </c>
      <c r="Q7" s="18" t="str">
        <f t="shared" si="6"/>
        <v/>
      </c>
    </row>
    <row r="8" ht="15.75" customHeight="1">
      <c r="B8" s="10" t="s">
        <v>19</v>
      </c>
      <c r="C8" s="20">
        <v>0.0</v>
      </c>
      <c r="D8" s="27">
        <f>C8*D5</f>
        <v>0</v>
      </c>
      <c r="F8" s="12" t="s">
        <v>20</v>
      </c>
      <c r="G8" s="31">
        <f>G6+G5+G7</f>
        <v>2775000</v>
      </c>
      <c r="I8" s="15" t="s">
        <v>21</v>
      </c>
      <c r="J8" s="16">
        <f>J6+J5+J7</f>
        <v>18736.99873</v>
      </c>
      <c r="K8" s="6"/>
      <c r="L8" s="32" t="s">
        <v>22</v>
      </c>
      <c r="M8" s="19">
        <f t="shared" ref="M8:Q8" si="8">sum(M5:M7)</f>
        <v>-45818.00406</v>
      </c>
      <c r="N8" s="19">
        <f t="shared" si="8"/>
        <v>-48886.52065</v>
      </c>
      <c r="O8" s="19">
        <f t="shared" si="8"/>
        <v>-52160.54147</v>
      </c>
      <c r="P8" s="19">
        <f t="shared" si="8"/>
        <v>-55653.82954</v>
      </c>
      <c r="Q8" s="19">
        <f t="shared" si="8"/>
        <v>-59381.06957</v>
      </c>
    </row>
    <row r="9" ht="15.75" customHeight="1">
      <c r="B9" s="10" t="s">
        <v>23</v>
      </c>
      <c r="C9" s="10"/>
      <c r="D9" s="27">
        <f>D8+D7+D6</f>
        <v>2775000</v>
      </c>
      <c r="I9" s="15" t="s">
        <v>24</v>
      </c>
      <c r="J9" s="16">
        <f>J8*12</f>
        <v>224843.9847</v>
      </c>
      <c r="K9" s="6"/>
      <c r="L9" s="33" t="s">
        <v>25</v>
      </c>
      <c r="M9" s="34">
        <f>G8+M8</f>
        <v>2729181.996</v>
      </c>
      <c r="N9" s="35">
        <f t="shared" ref="N9:Q9" si="9">N8+M9</f>
        <v>2680295.475</v>
      </c>
      <c r="O9" s="35">
        <f t="shared" si="9"/>
        <v>2628134.934</v>
      </c>
      <c r="P9" s="35">
        <f t="shared" si="9"/>
        <v>2572481.104</v>
      </c>
      <c r="Q9" s="35">
        <f t="shared" si="9"/>
        <v>2513100.035</v>
      </c>
    </row>
    <row r="10" ht="15.75" customHeight="1">
      <c r="B10" s="10" t="s">
        <v>26</v>
      </c>
      <c r="C10" s="10"/>
      <c r="D10" s="27">
        <f>D5-D6-D7-D8</f>
        <v>925000</v>
      </c>
      <c r="L10" s="36"/>
    </row>
    <row r="11" ht="15.75" customHeight="1">
      <c r="B11" s="10" t="s">
        <v>27</v>
      </c>
      <c r="C11" s="37">
        <v>0.03</v>
      </c>
      <c r="D11" s="27">
        <f>D5*C11</f>
        <v>111000</v>
      </c>
      <c r="F11" s="12"/>
      <c r="G11" s="38">
        <f>Proforma!H49</f>
        <v>0.08819807027</v>
      </c>
      <c r="I11" s="15"/>
      <c r="J11" s="16">
        <f>J5-16443.62</f>
        <v>2293.378727</v>
      </c>
    </row>
    <row r="12" ht="15.75" customHeight="1">
      <c r="B12" s="10" t="s">
        <v>28</v>
      </c>
      <c r="C12" s="10"/>
      <c r="D12" s="27">
        <f>D23</f>
        <v>254375</v>
      </c>
      <c r="F12" s="12"/>
      <c r="G12" s="31"/>
      <c r="I12" s="15"/>
      <c r="J12" s="16"/>
    </row>
    <row r="13" ht="15.75" customHeight="1">
      <c r="B13" s="10" t="s">
        <v>29</v>
      </c>
      <c r="C13" s="10"/>
      <c r="D13" s="27">
        <f>D12+D11+D10</f>
        <v>1290375</v>
      </c>
      <c r="F13" s="12"/>
      <c r="G13" s="31"/>
      <c r="I13" s="15"/>
      <c r="J13" s="39">
        <v>23588.76</v>
      </c>
      <c r="M13" s="28">
        <f t="shared" ref="M13:Q13" si="10">M8/$G$20</f>
        <v>-0.03550751065</v>
      </c>
      <c r="N13" s="28">
        <f t="shared" si="10"/>
        <v>-0.0378855144</v>
      </c>
      <c r="O13" s="28">
        <f t="shared" si="10"/>
        <v>-0.04042277747</v>
      </c>
      <c r="P13" s="28">
        <f t="shared" si="10"/>
        <v>-0.04312996574</v>
      </c>
      <c r="Q13" s="28">
        <f t="shared" si="10"/>
        <v>-0.04601845942</v>
      </c>
    </row>
    <row r="14" ht="15.75" customHeight="1">
      <c r="B14" s="10" t="s">
        <v>30</v>
      </c>
      <c r="C14" s="10"/>
      <c r="D14" s="27">
        <f>D13+D9</f>
        <v>4065375</v>
      </c>
      <c r="J14" s="28">
        <f>J13*12</f>
        <v>283065.12</v>
      </c>
    </row>
    <row r="15" ht="15.75" customHeight="1"/>
    <row r="16" ht="15.75" customHeight="1">
      <c r="B16" s="2" t="s">
        <v>28</v>
      </c>
      <c r="C16" s="3"/>
      <c r="D16" s="4"/>
      <c r="F16" s="2" t="s">
        <v>0</v>
      </c>
      <c r="G16" s="4"/>
    </row>
    <row r="17" ht="15.75" customHeight="1">
      <c r="B17" s="15" t="s">
        <v>31</v>
      </c>
      <c r="C17" s="40">
        <v>0.015</v>
      </c>
      <c r="D17" s="31">
        <f>C17*D9</f>
        <v>41625</v>
      </c>
      <c r="F17" s="15" t="s">
        <v>32</v>
      </c>
      <c r="G17" s="31">
        <f>D10</f>
        <v>925000</v>
      </c>
    </row>
    <row r="18" ht="15.75" customHeight="1">
      <c r="B18" s="15" t="s">
        <v>33</v>
      </c>
      <c r="C18" s="40">
        <v>0.01</v>
      </c>
      <c r="D18" s="31">
        <f>C18*D9</f>
        <v>27750</v>
      </c>
      <c r="F18" s="15" t="s">
        <v>28</v>
      </c>
      <c r="G18" s="31">
        <f>D23</f>
        <v>254375</v>
      </c>
    </row>
    <row r="19" ht="15.75" customHeight="1">
      <c r="B19" s="15" t="s">
        <v>34</v>
      </c>
      <c r="C19" s="40">
        <v>0.03</v>
      </c>
      <c r="D19" s="31">
        <f>C19*D5</f>
        <v>111000</v>
      </c>
      <c r="F19" s="15" t="s">
        <v>27</v>
      </c>
      <c r="G19" s="31">
        <f>D11</f>
        <v>111000</v>
      </c>
    </row>
    <row r="20" ht="15.75" customHeight="1">
      <c r="B20" s="15" t="s">
        <v>35</v>
      </c>
      <c r="C20" s="40">
        <v>0.01</v>
      </c>
      <c r="D20" s="31">
        <f>C20*D5</f>
        <v>37000</v>
      </c>
      <c r="F20" s="41" t="s">
        <v>36</v>
      </c>
      <c r="G20" s="42">
        <f>SUM(G17:G19)</f>
        <v>1290375</v>
      </c>
    </row>
    <row r="21">
      <c r="B21" s="15" t="s">
        <v>37</v>
      </c>
      <c r="C21" s="40">
        <v>0.01</v>
      </c>
      <c r="D21" s="31">
        <f>C21*D5</f>
        <v>37000</v>
      </c>
      <c r="G21" s="31"/>
    </row>
    <row r="22" ht="1.5" customHeight="1">
      <c r="B22" s="15"/>
      <c r="C22" s="15"/>
      <c r="D22" s="31"/>
      <c r="G22" s="31"/>
    </row>
    <row r="23" ht="15.75" customHeight="1">
      <c r="B23" s="41" t="s">
        <v>36</v>
      </c>
      <c r="C23" s="41"/>
      <c r="D23" s="42">
        <f>SUM(D17:D22)</f>
        <v>254375</v>
      </c>
    </row>
    <row r="24" ht="15.75" customHeight="1"/>
    <row r="25" ht="15.75" customHeight="1"/>
    <row r="26" ht="15.75" customHeight="1"/>
    <row r="27" ht="15.75" customHeight="1">
      <c r="F27" s="43" t="s">
        <v>38</v>
      </c>
      <c r="G27" s="44">
        <v>500000.0</v>
      </c>
    </row>
    <row r="28" ht="15.75" customHeight="1"/>
    <row r="29" ht="15.75" customHeight="1"/>
    <row r="30" ht="15.75" customHeight="1"/>
    <row r="31" ht="15.75" customHeight="1"/>
    <row r="32" ht="15.75" customHeight="1">
      <c r="G32" s="45">
        <f>G20+'Sources and Uses New'!G20</f>
        <v>2633062.5</v>
      </c>
    </row>
    <row r="33" ht="15.75" customHeight="1"/>
    <row r="34" ht="15.75" customHeight="1">
      <c r="G34" s="43">
        <v>719000.0</v>
      </c>
      <c r="H34" s="28">
        <f>G34/G20</f>
        <v>0.5572023637</v>
      </c>
      <c r="I34" s="46">
        <f>H34*D5</f>
        <v>2061648.746</v>
      </c>
    </row>
    <row r="35" ht="15.75" customHeight="1">
      <c r="G35" s="43">
        <v>127000.0</v>
      </c>
    </row>
    <row r="36" ht="15.75" customHeight="1">
      <c r="G36" s="28">
        <f>G34-G35</f>
        <v>592000</v>
      </c>
      <c r="H36" s="28">
        <f>G36/G20</f>
        <v>0.458781362</v>
      </c>
    </row>
    <row r="37" ht="15.75" customHeight="1">
      <c r="G37" s="28">
        <f>G36/G20</f>
        <v>0.458781362</v>
      </c>
      <c r="H37" s="46">
        <f>G37*D5</f>
        <v>1697491.039</v>
      </c>
      <c r="J37" s="43">
        <v>3280000.0</v>
      </c>
    </row>
    <row r="38" ht="15.75" customHeight="1">
      <c r="J38" s="46">
        <f>0.6273*J37</f>
        <v>2057544</v>
      </c>
      <c r="L38" s="46">
        <f>J38-H37</f>
        <v>360052.9606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I55" s="43" t="s">
        <v>39</v>
      </c>
      <c r="J55" s="43" t="s">
        <v>40</v>
      </c>
      <c r="L55" s="43" t="s">
        <v>41</v>
      </c>
      <c r="M55" s="43" t="s">
        <v>42</v>
      </c>
    </row>
    <row r="56" ht="15.75" customHeight="1">
      <c r="B56" s="43" t="s">
        <v>43</v>
      </c>
      <c r="D56" s="45">
        <f>D5+'Sources and Uses New'!G25</f>
        <v>4200000</v>
      </c>
      <c r="G56" s="43" t="s">
        <v>44</v>
      </c>
      <c r="H56" s="44">
        <v>606885.17</v>
      </c>
      <c r="I56" s="45">
        <f>J38</f>
        <v>2057544</v>
      </c>
      <c r="J56" s="46">
        <f t="shared" ref="J56:J57" si="11">L56*$D$56</f>
        <v>968042.9971</v>
      </c>
      <c r="L56" s="36">
        <f t="shared" ref="L56:L59" si="12">H56/$H$63</f>
        <v>0.2304864279</v>
      </c>
      <c r="M56" s="36">
        <f t="shared" ref="M56:M57" si="13">I56/$D$56</f>
        <v>0.4898914286</v>
      </c>
      <c r="Q56" s="28">
        <f>2541500</f>
        <v>2541500</v>
      </c>
    </row>
    <row r="57" ht="15.75" customHeight="1">
      <c r="B57" s="43" t="s">
        <v>45</v>
      </c>
      <c r="D57" s="45">
        <v>3350000.0</v>
      </c>
      <c r="G57" s="43" t="s">
        <v>46</v>
      </c>
      <c r="H57" s="44">
        <v>269127.43</v>
      </c>
      <c r="I57" s="47">
        <v>675000.0</v>
      </c>
      <c r="J57" s="46">
        <f t="shared" si="11"/>
        <v>429285.3687</v>
      </c>
      <c r="L57" s="36">
        <f t="shared" si="12"/>
        <v>0.1022108021</v>
      </c>
      <c r="M57" s="36">
        <f t="shared" si="13"/>
        <v>0.1607142857</v>
      </c>
      <c r="Q57" s="36">
        <f>H56/Q56</f>
        <v>0.2387901515</v>
      </c>
    </row>
    <row r="58" ht="15.75" customHeight="1">
      <c r="B58" s="43" t="s">
        <v>20</v>
      </c>
      <c r="D58" s="45">
        <f>D57+D56</f>
        <v>7550000</v>
      </c>
      <c r="G58" s="43" t="s">
        <v>47</v>
      </c>
      <c r="H58" s="44">
        <f>2517563-1151012.6</f>
        <v>1366550.4</v>
      </c>
      <c r="I58" s="47"/>
      <c r="J58" s="46"/>
      <c r="L58" s="36">
        <f t="shared" si="12"/>
        <v>0.5189965677</v>
      </c>
      <c r="M58" s="36">
        <f>1-0.7296</f>
        <v>0.2704</v>
      </c>
    </row>
    <row r="59" ht="15.75" customHeight="1">
      <c r="B59" s="43" t="s">
        <v>48</v>
      </c>
      <c r="D59" s="45">
        <f>D58*0.25</f>
        <v>1887500</v>
      </c>
      <c r="G59" s="48" t="s">
        <v>49</v>
      </c>
      <c r="H59" s="49">
        <v>275000.0</v>
      </c>
      <c r="I59" s="50">
        <f>995000/3</f>
        <v>331666.6667</v>
      </c>
      <c r="J59" s="51">
        <f>L59*$D$56</f>
        <v>438652.7095</v>
      </c>
      <c r="K59" s="52"/>
      <c r="L59" s="53">
        <f t="shared" si="12"/>
        <v>0.1044411213</v>
      </c>
      <c r="M59" s="53">
        <f>I59/$D$56</f>
        <v>0.07896825397</v>
      </c>
    </row>
    <row r="60" ht="15.75" customHeight="1">
      <c r="B60" s="43" t="s">
        <v>50</v>
      </c>
      <c r="D60" s="45">
        <f>D58*0.3</f>
        <v>2265000</v>
      </c>
      <c r="G60" s="43" t="s">
        <v>20</v>
      </c>
      <c r="H60" s="46">
        <f>sum(H56:H59)</f>
        <v>2517563</v>
      </c>
      <c r="I60" s="45">
        <f>D60-H60</f>
        <v>-252563</v>
      </c>
      <c r="L60" s="36">
        <f t="shared" ref="L60:M60" si="14">sum(L56:L59)</f>
        <v>0.9561349189</v>
      </c>
      <c r="M60" s="36">
        <f t="shared" si="14"/>
        <v>0.9999739683</v>
      </c>
    </row>
    <row r="61" ht="15.75" customHeight="1">
      <c r="G61" s="43" t="s">
        <v>51</v>
      </c>
      <c r="H61" s="28">
        <f>I61*0.99</f>
        <v>897930</v>
      </c>
      <c r="I61" s="43">
        <v>907000.0</v>
      </c>
    </row>
    <row r="62" ht="15.75" customHeight="1"/>
    <row r="63" ht="15.75" customHeight="1">
      <c r="H63" s="45">
        <f>'Sources and Uses New'!G20+G20</f>
        <v>2633062.5</v>
      </c>
      <c r="I63" s="45">
        <f>H63-H60</f>
        <v>115499.5</v>
      </c>
      <c r="J63" s="36">
        <f>H56/$H$63</f>
        <v>0.2304864279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B16:D16"/>
    <mergeCell ref="F16:G16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6.25"/>
    <col customWidth="1" min="3" max="3" width="19.75"/>
    <col customWidth="1" min="4" max="4" width="15.88"/>
    <col customWidth="1" min="5" max="5" width="49.38"/>
    <col customWidth="1" min="6" max="6" width="15.13"/>
  </cols>
  <sheetData>
    <row r="1">
      <c r="A1" s="54" t="s">
        <v>52</v>
      </c>
      <c r="B1" s="54" t="s">
        <v>53</v>
      </c>
      <c r="C1" s="54" t="s">
        <v>54</v>
      </c>
      <c r="D1" s="54" t="s">
        <v>55</v>
      </c>
      <c r="E1" s="43" t="s">
        <v>56</v>
      </c>
      <c r="F1" s="55" t="s">
        <v>57</v>
      </c>
    </row>
    <row r="2">
      <c r="A2" s="43" t="s">
        <v>58</v>
      </c>
      <c r="B2" s="43" t="s">
        <v>59</v>
      </c>
      <c r="C2" s="56">
        <v>2544.7</v>
      </c>
      <c r="D2" s="56">
        <v>66162.2</v>
      </c>
      <c r="F2" s="46"/>
    </row>
    <row r="3">
      <c r="A3" s="43" t="s">
        <v>60</v>
      </c>
      <c r="B3" s="43" t="s">
        <v>61</v>
      </c>
      <c r="C3" s="56">
        <v>1454.6</v>
      </c>
      <c r="D3" s="56">
        <v>37819.6</v>
      </c>
      <c r="F3" s="44">
        <f t="shared" ref="F3:F14" si="1">D3</f>
        <v>37819.6</v>
      </c>
    </row>
    <row r="4">
      <c r="A4" s="43" t="s">
        <v>60</v>
      </c>
      <c r="B4" s="43" t="s">
        <v>62</v>
      </c>
      <c r="C4" s="56">
        <v>1379.88</v>
      </c>
      <c r="D4" s="56">
        <v>35876.88</v>
      </c>
      <c r="F4" s="44">
        <f t="shared" si="1"/>
        <v>35876.88</v>
      </c>
    </row>
    <row r="5">
      <c r="A5" s="43" t="s">
        <v>60</v>
      </c>
      <c r="B5" s="43" t="s">
        <v>63</v>
      </c>
      <c r="C5" s="56">
        <v>1951.09</v>
      </c>
      <c r="D5" s="56">
        <v>50728.34</v>
      </c>
      <c r="F5" s="44">
        <f t="shared" si="1"/>
        <v>50728.34</v>
      </c>
    </row>
    <row r="6">
      <c r="A6" s="43" t="s">
        <v>60</v>
      </c>
      <c r="B6" s="43" t="s">
        <v>64</v>
      </c>
      <c r="C6" s="56">
        <v>1560.72</v>
      </c>
      <c r="D6" s="56">
        <v>40578.72</v>
      </c>
      <c r="F6" s="44">
        <f t="shared" si="1"/>
        <v>40578.72</v>
      </c>
    </row>
    <row r="7">
      <c r="A7" s="43" t="s">
        <v>60</v>
      </c>
      <c r="B7" s="43" t="s">
        <v>65</v>
      </c>
      <c r="C7" s="43">
        <v>919.6</v>
      </c>
      <c r="D7" s="56">
        <v>23909.6</v>
      </c>
      <c r="F7" s="44">
        <f t="shared" si="1"/>
        <v>23909.6</v>
      </c>
    </row>
    <row r="8">
      <c r="A8" s="43" t="s">
        <v>60</v>
      </c>
      <c r="B8" s="43" t="s">
        <v>66</v>
      </c>
      <c r="C8" s="56">
        <v>2525.6</v>
      </c>
      <c r="D8" s="56">
        <v>65665.6</v>
      </c>
      <c r="F8" s="44">
        <f t="shared" si="1"/>
        <v>65665.6</v>
      </c>
    </row>
    <row r="9">
      <c r="A9" s="43" t="s">
        <v>60</v>
      </c>
      <c r="B9" s="43" t="s">
        <v>67</v>
      </c>
      <c r="C9" s="56">
        <v>1647.68</v>
      </c>
      <c r="D9" s="56">
        <v>42839.68</v>
      </c>
      <c r="F9" s="44">
        <f t="shared" si="1"/>
        <v>42839.68</v>
      </c>
    </row>
    <row r="10">
      <c r="A10" s="43" t="s">
        <v>60</v>
      </c>
      <c r="B10" s="43" t="s">
        <v>68</v>
      </c>
      <c r="C10" s="56">
        <v>1347.57</v>
      </c>
      <c r="D10" s="56">
        <v>35036.82</v>
      </c>
      <c r="F10" s="44">
        <f t="shared" si="1"/>
        <v>35036.82</v>
      </c>
    </row>
    <row r="11">
      <c r="A11" s="43" t="s">
        <v>60</v>
      </c>
      <c r="B11" s="43" t="s">
        <v>69</v>
      </c>
      <c r="C11" s="43">
        <v>581.49</v>
      </c>
      <c r="D11" s="56">
        <v>15118.74</v>
      </c>
      <c r="F11" s="44">
        <f t="shared" si="1"/>
        <v>15118.74</v>
      </c>
    </row>
    <row r="12">
      <c r="A12" s="43" t="s">
        <v>60</v>
      </c>
      <c r="B12" s="43" t="s">
        <v>70</v>
      </c>
      <c r="C12" s="56">
        <v>1772.93</v>
      </c>
      <c r="D12" s="56">
        <v>46096.18</v>
      </c>
      <c r="F12" s="44">
        <f t="shared" si="1"/>
        <v>46096.18</v>
      </c>
    </row>
    <row r="13">
      <c r="A13" s="43" t="s">
        <v>60</v>
      </c>
      <c r="B13" s="43" t="s">
        <v>71</v>
      </c>
      <c r="C13" s="56">
        <v>1888.99</v>
      </c>
      <c r="D13" s="56">
        <v>49113.74</v>
      </c>
      <c r="F13" s="44">
        <f t="shared" si="1"/>
        <v>49113.74</v>
      </c>
    </row>
    <row r="14">
      <c r="A14" s="43" t="s">
        <v>60</v>
      </c>
      <c r="B14" s="43" t="s">
        <v>72</v>
      </c>
      <c r="C14" s="56">
        <v>2389.59</v>
      </c>
      <c r="D14" s="56">
        <v>62129.34</v>
      </c>
      <c r="F14" s="44">
        <f t="shared" si="1"/>
        <v>62129.34</v>
      </c>
    </row>
    <row r="15">
      <c r="A15" s="43" t="s">
        <v>73</v>
      </c>
      <c r="B15" s="43" t="s">
        <v>74</v>
      </c>
      <c r="C15" s="56">
        <v>1252.35</v>
      </c>
      <c r="D15" s="56">
        <v>32561.1</v>
      </c>
      <c r="F15" s="46"/>
    </row>
    <row r="16">
      <c r="A16" s="43" t="s">
        <v>75</v>
      </c>
      <c r="B16" s="43" t="s">
        <v>76</v>
      </c>
      <c r="C16" s="56">
        <v>2980.8</v>
      </c>
      <c r="D16" s="56">
        <v>77500.8</v>
      </c>
      <c r="E16" s="43" t="s">
        <v>77</v>
      </c>
      <c r="F16" s="46"/>
    </row>
    <row r="17">
      <c r="A17" s="43" t="s">
        <v>78</v>
      </c>
      <c r="B17" s="43" t="s">
        <v>79</v>
      </c>
      <c r="C17" s="43">
        <v>750.0</v>
      </c>
      <c r="D17" s="56">
        <v>19500.0</v>
      </c>
      <c r="F17" s="44">
        <f t="shared" ref="F17:F18" si="2">D17</f>
        <v>19500</v>
      </c>
    </row>
    <row r="18">
      <c r="A18" s="43" t="s">
        <v>78</v>
      </c>
      <c r="B18" s="43" t="s">
        <v>80</v>
      </c>
      <c r="C18" s="43">
        <v>893.16</v>
      </c>
      <c r="D18" s="56">
        <v>23222.16</v>
      </c>
      <c r="F18" s="44">
        <f t="shared" si="2"/>
        <v>23222.16</v>
      </c>
    </row>
    <row r="19">
      <c r="A19" s="43" t="s">
        <v>81</v>
      </c>
      <c r="B19" s="43" t="s">
        <v>82</v>
      </c>
      <c r="C19" s="56">
        <v>1794.0</v>
      </c>
      <c r="D19" s="56">
        <v>46644.0</v>
      </c>
      <c r="F19" s="46"/>
    </row>
    <row r="20">
      <c r="A20" s="48" t="s">
        <v>81</v>
      </c>
      <c r="B20" s="48" t="s">
        <v>83</v>
      </c>
      <c r="C20" s="57">
        <v>1638.0</v>
      </c>
      <c r="D20" s="57">
        <v>42588.0</v>
      </c>
      <c r="E20" s="43" t="s">
        <v>84</v>
      </c>
      <c r="F20" s="51"/>
    </row>
    <row r="21">
      <c r="C21" s="58">
        <f t="shared" ref="C21:D21" si="3">sum(C2:C20)</f>
        <v>31272.75</v>
      </c>
      <c r="D21" s="58">
        <f t="shared" si="3"/>
        <v>813091.5</v>
      </c>
      <c r="E21" s="58">
        <f>D21-D20-D16-D14-D13</f>
        <v>581759.62</v>
      </c>
      <c r="F21" s="46">
        <f>sum(F2:F20)</f>
        <v>547635.4</v>
      </c>
    </row>
    <row r="22">
      <c r="F22" s="46"/>
    </row>
    <row r="23">
      <c r="D23" s="43">
        <v>700000.0</v>
      </c>
      <c r="F23" s="46"/>
    </row>
    <row r="24">
      <c r="E24" s="58">
        <f>D21-E21</f>
        <v>231331.88</v>
      </c>
      <c r="F24" s="46"/>
    </row>
    <row r="25">
      <c r="C25" s="43" t="s">
        <v>85</v>
      </c>
      <c r="D25" s="58">
        <f>D21-D23</f>
        <v>113091.5</v>
      </c>
      <c r="F25" s="46"/>
    </row>
    <row r="26">
      <c r="F26" s="46"/>
    </row>
    <row r="27">
      <c r="F27" s="46"/>
    </row>
    <row r="28">
      <c r="F28" s="46"/>
    </row>
    <row r="29">
      <c r="F29" s="46"/>
    </row>
    <row r="30">
      <c r="F30" s="46"/>
    </row>
    <row r="31">
      <c r="F31" s="46"/>
    </row>
    <row r="32">
      <c r="F32" s="46"/>
    </row>
    <row r="33">
      <c r="F33" s="46"/>
    </row>
    <row r="34">
      <c r="F34" s="46"/>
    </row>
    <row r="35">
      <c r="F35" s="46"/>
    </row>
    <row r="36">
      <c r="F36" s="46"/>
    </row>
    <row r="37">
      <c r="F37" s="46"/>
    </row>
    <row r="38">
      <c r="F38" s="46"/>
    </row>
    <row r="39">
      <c r="F39" s="46"/>
    </row>
    <row r="40">
      <c r="F40" s="46"/>
    </row>
    <row r="41">
      <c r="F41" s="46"/>
    </row>
    <row r="42">
      <c r="F42" s="46"/>
    </row>
    <row r="43">
      <c r="F43" s="46"/>
    </row>
    <row r="44">
      <c r="F44" s="46"/>
    </row>
    <row r="45">
      <c r="F45" s="46"/>
    </row>
    <row r="46">
      <c r="F46" s="46"/>
    </row>
    <row r="47">
      <c r="F47" s="46"/>
    </row>
    <row r="48">
      <c r="F48" s="46"/>
    </row>
    <row r="49">
      <c r="F49" s="46"/>
    </row>
    <row r="50">
      <c r="F50" s="46"/>
    </row>
    <row r="51">
      <c r="F51" s="46"/>
    </row>
    <row r="52">
      <c r="F52" s="46"/>
    </row>
    <row r="53">
      <c r="F53" s="46"/>
    </row>
    <row r="54">
      <c r="F54" s="46"/>
    </row>
    <row r="55">
      <c r="F55" s="46"/>
    </row>
    <row r="56">
      <c r="F56" s="46"/>
    </row>
    <row r="57">
      <c r="F57" s="46"/>
    </row>
    <row r="58">
      <c r="F58" s="46"/>
    </row>
    <row r="59">
      <c r="F59" s="46"/>
    </row>
    <row r="60">
      <c r="F60" s="46"/>
    </row>
    <row r="61">
      <c r="F61" s="46"/>
    </row>
    <row r="62">
      <c r="F62" s="46"/>
    </row>
    <row r="63">
      <c r="F63" s="46"/>
    </row>
    <row r="64">
      <c r="F64" s="46"/>
    </row>
    <row r="65">
      <c r="F65" s="46"/>
    </row>
    <row r="66">
      <c r="F66" s="46"/>
    </row>
    <row r="67">
      <c r="F67" s="46"/>
    </row>
    <row r="68">
      <c r="F68" s="46"/>
    </row>
    <row r="69">
      <c r="F69" s="46"/>
    </row>
    <row r="70">
      <c r="F70" s="46"/>
    </row>
    <row r="71">
      <c r="F71" s="46"/>
    </row>
    <row r="72">
      <c r="F72" s="46"/>
    </row>
    <row r="73">
      <c r="F73" s="46"/>
    </row>
    <row r="74">
      <c r="F74" s="46"/>
    </row>
    <row r="75">
      <c r="F75" s="46"/>
    </row>
    <row r="76">
      <c r="F76" s="46"/>
    </row>
    <row r="77">
      <c r="F77" s="46"/>
    </row>
    <row r="78">
      <c r="F78" s="46"/>
    </row>
    <row r="79">
      <c r="F79" s="46"/>
    </row>
    <row r="80">
      <c r="F80" s="46"/>
    </row>
    <row r="81">
      <c r="F81" s="46"/>
    </row>
    <row r="82">
      <c r="F82" s="46"/>
    </row>
    <row r="83">
      <c r="F83" s="46"/>
    </row>
    <row r="84">
      <c r="F84" s="46"/>
    </row>
    <row r="85">
      <c r="F85" s="46"/>
    </row>
    <row r="86">
      <c r="F86" s="46"/>
    </row>
    <row r="87">
      <c r="F87" s="46"/>
    </row>
    <row r="88">
      <c r="F88" s="46"/>
    </row>
    <row r="89">
      <c r="F89" s="46"/>
    </row>
    <row r="90">
      <c r="F90" s="46"/>
    </row>
    <row r="91">
      <c r="F91" s="46"/>
    </row>
    <row r="92">
      <c r="F92" s="46"/>
    </row>
    <row r="93">
      <c r="F93" s="46"/>
    </row>
    <row r="94">
      <c r="F94" s="46"/>
    </row>
    <row r="95">
      <c r="F95" s="46"/>
    </row>
    <row r="96">
      <c r="F96" s="46"/>
    </row>
    <row r="97">
      <c r="F97" s="46"/>
    </row>
    <row r="98">
      <c r="F98" s="46"/>
    </row>
    <row r="99">
      <c r="F99" s="46"/>
    </row>
    <row r="100">
      <c r="F100" s="46"/>
    </row>
    <row r="101">
      <c r="F101" s="46"/>
    </row>
    <row r="102">
      <c r="F102" s="46"/>
    </row>
    <row r="103">
      <c r="F103" s="46"/>
    </row>
    <row r="104">
      <c r="F104" s="46"/>
    </row>
    <row r="105">
      <c r="F105" s="46"/>
    </row>
    <row r="106">
      <c r="F106" s="46"/>
    </row>
    <row r="107">
      <c r="F107" s="46"/>
    </row>
    <row r="108">
      <c r="F108" s="46"/>
    </row>
    <row r="109">
      <c r="F109" s="46"/>
    </row>
    <row r="110">
      <c r="F110" s="46"/>
    </row>
    <row r="111">
      <c r="F111" s="46"/>
    </row>
    <row r="112">
      <c r="F112" s="46"/>
    </row>
    <row r="113">
      <c r="F113" s="46"/>
    </row>
    <row r="114">
      <c r="F114" s="46"/>
    </row>
    <row r="115">
      <c r="F115" s="46"/>
    </row>
    <row r="116">
      <c r="F116" s="46"/>
    </row>
    <row r="117">
      <c r="F117" s="46"/>
    </row>
    <row r="118">
      <c r="F118" s="46"/>
    </row>
    <row r="119">
      <c r="F119" s="46"/>
    </row>
    <row r="120">
      <c r="F120" s="46"/>
    </row>
    <row r="121">
      <c r="F121" s="46"/>
    </row>
    <row r="122">
      <c r="F122" s="46"/>
    </row>
    <row r="123">
      <c r="F123" s="46"/>
    </row>
    <row r="124">
      <c r="F124" s="46"/>
    </row>
    <row r="125">
      <c r="F125" s="46"/>
    </row>
    <row r="126">
      <c r="F126" s="46"/>
    </row>
    <row r="127">
      <c r="F127" s="46"/>
    </row>
    <row r="128">
      <c r="F128" s="46"/>
    </row>
    <row r="129">
      <c r="F129" s="46"/>
    </row>
    <row r="130">
      <c r="F130" s="46"/>
    </row>
    <row r="131">
      <c r="F131" s="46"/>
    </row>
    <row r="132">
      <c r="F132" s="46"/>
    </row>
    <row r="133">
      <c r="F133" s="46"/>
    </row>
    <row r="134">
      <c r="F134" s="46"/>
    </row>
    <row r="135">
      <c r="F135" s="46"/>
    </row>
    <row r="136">
      <c r="F136" s="46"/>
    </row>
    <row r="137">
      <c r="F137" s="46"/>
    </row>
    <row r="138">
      <c r="F138" s="46"/>
    </row>
    <row r="139">
      <c r="F139" s="46"/>
    </row>
    <row r="140">
      <c r="F140" s="46"/>
    </row>
    <row r="141">
      <c r="F141" s="46"/>
    </row>
    <row r="142">
      <c r="F142" s="46"/>
    </row>
    <row r="143">
      <c r="F143" s="46"/>
    </row>
    <row r="144">
      <c r="F144" s="46"/>
    </row>
    <row r="145">
      <c r="F145" s="46"/>
    </row>
    <row r="146">
      <c r="F146" s="46"/>
    </row>
    <row r="147">
      <c r="F147" s="46"/>
    </row>
    <row r="148">
      <c r="F148" s="46"/>
    </row>
    <row r="149">
      <c r="F149" s="46"/>
    </row>
    <row r="150">
      <c r="F150" s="46"/>
    </row>
    <row r="151">
      <c r="F151" s="46"/>
    </row>
    <row r="152">
      <c r="F152" s="46"/>
    </row>
    <row r="153">
      <c r="F153" s="46"/>
    </row>
    <row r="154">
      <c r="F154" s="46"/>
    </row>
    <row r="155">
      <c r="F155" s="46"/>
    </row>
    <row r="156">
      <c r="F156" s="46"/>
    </row>
    <row r="157">
      <c r="F157" s="46"/>
    </row>
    <row r="158">
      <c r="F158" s="46"/>
    </row>
    <row r="159">
      <c r="F159" s="46"/>
    </row>
    <row r="160">
      <c r="F160" s="46"/>
    </row>
    <row r="161">
      <c r="F161" s="46"/>
    </row>
    <row r="162">
      <c r="F162" s="46"/>
    </row>
    <row r="163">
      <c r="F163" s="46"/>
    </row>
    <row r="164">
      <c r="F164" s="46"/>
    </row>
    <row r="165">
      <c r="F165" s="46"/>
    </row>
    <row r="166">
      <c r="F166" s="46"/>
    </row>
    <row r="167">
      <c r="F167" s="46"/>
    </row>
    <row r="168">
      <c r="F168" s="46"/>
    </row>
    <row r="169">
      <c r="F169" s="46"/>
    </row>
    <row r="170">
      <c r="F170" s="46"/>
    </row>
    <row r="171">
      <c r="F171" s="46"/>
    </row>
    <row r="172">
      <c r="F172" s="46"/>
    </row>
    <row r="173">
      <c r="F173" s="46"/>
    </row>
    <row r="174">
      <c r="F174" s="46"/>
    </row>
    <row r="175">
      <c r="F175" s="46"/>
    </row>
    <row r="176">
      <c r="F176" s="46"/>
    </row>
    <row r="177">
      <c r="F177" s="46"/>
    </row>
    <row r="178">
      <c r="F178" s="46"/>
    </row>
    <row r="179">
      <c r="F179" s="46"/>
    </row>
    <row r="180">
      <c r="F180" s="46"/>
    </row>
    <row r="181">
      <c r="F181" s="46"/>
    </row>
    <row r="182">
      <c r="F182" s="46"/>
    </row>
    <row r="183">
      <c r="F183" s="46"/>
    </row>
    <row r="184">
      <c r="F184" s="46"/>
    </row>
    <row r="185">
      <c r="F185" s="46"/>
    </row>
    <row r="186">
      <c r="F186" s="46"/>
    </row>
    <row r="187">
      <c r="F187" s="46"/>
    </row>
    <row r="188">
      <c r="F188" s="46"/>
    </row>
    <row r="189">
      <c r="F189" s="46"/>
    </row>
    <row r="190">
      <c r="F190" s="46"/>
    </row>
    <row r="191">
      <c r="F191" s="46"/>
    </row>
    <row r="192">
      <c r="F192" s="46"/>
    </row>
    <row r="193">
      <c r="F193" s="46"/>
    </row>
    <row r="194">
      <c r="F194" s="46"/>
    </row>
    <row r="195">
      <c r="F195" s="46"/>
    </row>
    <row r="196">
      <c r="F196" s="46"/>
    </row>
    <row r="197">
      <c r="F197" s="46"/>
    </row>
    <row r="198">
      <c r="F198" s="46"/>
    </row>
    <row r="199">
      <c r="F199" s="46"/>
    </row>
    <row r="200">
      <c r="F200" s="46"/>
    </row>
    <row r="201">
      <c r="F201" s="46"/>
    </row>
    <row r="202">
      <c r="F202" s="46"/>
    </row>
    <row r="203">
      <c r="F203" s="46"/>
    </row>
    <row r="204">
      <c r="F204" s="46"/>
    </row>
    <row r="205">
      <c r="F205" s="46"/>
    </row>
    <row r="206">
      <c r="F206" s="46"/>
    </row>
    <row r="207">
      <c r="F207" s="46"/>
    </row>
    <row r="208">
      <c r="F208" s="46"/>
    </row>
    <row r="209">
      <c r="F209" s="46"/>
    </row>
    <row r="210">
      <c r="F210" s="46"/>
    </row>
    <row r="211">
      <c r="F211" s="46"/>
    </row>
    <row r="212">
      <c r="F212" s="46"/>
    </row>
    <row r="213">
      <c r="F213" s="46"/>
    </row>
    <row r="214">
      <c r="F214" s="46"/>
    </row>
    <row r="215">
      <c r="F215" s="46"/>
    </row>
    <row r="216">
      <c r="F216" s="46"/>
    </row>
    <row r="217">
      <c r="F217" s="46"/>
    </row>
    <row r="218">
      <c r="F218" s="46"/>
    </row>
    <row r="219">
      <c r="F219" s="46"/>
    </row>
    <row r="220">
      <c r="F220" s="46"/>
    </row>
    <row r="221">
      <c r="F221" s="46"/>
    </row>
    <row r="222">
      <c r="F222" s="46"/>
    </row>
    <row r="223">
      <c r="F223" s="46"/>
    </row>
    <row r="224">
      <c r="F224" s="46"/>
    </row>
    <row r="225">
      <c r="F225" s="46"/>
    </row>
    <row r="226">
      <c r="F226" s="46"/>
    </row>
    <row r="227">
      <c r="F227" s="46"/>
    </row>
    <row r="228">
      <c r="F228" s="46"/>
    </row>
    <row r="229">
      <c r="F229" s="46"/>
    </row>
    <row r="230">
      <c r="F230" s="46"/>
    </row>
    <row r="231">
      <c r="F231" s="46"/>
    </row>
    <row r="232">
      <c r="F232" s="46"/>
    </row>
    <row r="233">
      <c r="F233" s="46"/>
    </row>
    <row r="234">
      <c r="F234" s="46"/>
    </row>
    <row r="235">
      <c r="F235" s="46"/>
    </row>
    <row r="236">
      <c r="F236" s="46"/>
    </row>
    <row r="237">
      <c r="F237" s="46"/>
    </row>
    <row r="238">
      <c r="F238" s="46"/>
    </row>
    <row r="239">
      <c r="F239" s="46"/>
    </row>
    <row r="240">
      <c r="F240" s="46"/>
    </row>
    <row r="241">
      <c r="F241" s="46"/>
    </row>
    <row r="242">
      <c r="F242" s="46"/>
    </row>
    <row r="243">
      <c r="F243" s="46"/>
    </row>
    <row r="244">
      <c r="F244" s="46"/>
    </row>
    <row r="245">
      <c r="F245" s="46"/>
    </row>
    <row r="246">
      <c r="F246" s="46"/>
    </row>
    <row r="247">
      <c r="F247" s="46"/>
    </row>
    <row r="248">
      <c r="F248" s="46"/>
    </row>
    <row r="249">
      <c r="F249" s="46"/>
    </row>
    <row r="250">
      <c r="F250" s="46"/>
    </row>
    <row r="251">
      <c r="F251" s="46"/>
    </row>
    <row r="252">
      <c r="F252" s="46"/>
    </row>
    <row r="253">
      <c r="F253" s="46"/>
    </row>
    <row r="254">
      <c r="F254" s="46"/>
    </row>
    <row r="255">
      <c r="F255" s="46"/>
    </row>
    <row r="256">
      <c r="F256" s="46"/>
    </row>
    <row r="257">
      <c r="F257" s="46"/>
    </row>
    <row r="258">
      <c r="F258" s="46"/>
    </row>
    <row r="259">
      <c r="F259" s="46"/>
    </row>
    <row r="260">
      <c r="F260" s="46"/>
    </row>
    <row r="261">
      <c r="F261" s="46"/>
    </row>
    <row r="262">
      <c r="F262" s="46"/>
    </row>
    <row r="263">
      <c r="F263" s="46"/>
    </row>
    <row r="264">
      <c r="F264" s="46"/>
    </row>
    <row r="265">
      <c r="F265" s="46"/>
    </row>
    <row r="266">
      <c r="F266" s="46"/>
    </row>
    <row r="267">
      <c r="F267" s="46"/>
    </row>
    <row r="268">
      <c r="F268" s="46"/>
    </row>
    <row r="269">
      <c r="F269" s="46"/>
    </row>
    <row r="270">
      <c r="F270" s="46"/>
    </row>
    <row r="271">
      <c r="F271" s="46"/>
    </row>
    <row r="272">
      <c r="F272" s="46"/>
    </row>
    <row r="273">
      <c r="F273" s="46"/>
    </row>
    <row r="274">
      <c r="F274" s="46"/>
    </row>
    <row r="275">
      <c r="F275" s="46"/>
    </row>
    <row r="276">
      <c r="F276" s="46"/>
    </row>
    <row r="277">
      <c r="F277" s="46"/>
    </row>
    <row r="278">
      <c r="F278" s="46"/>
    </row>
    <row r="279">
      <c r="F279" s="46"/>
    </row>
    <row r="280">
      <c r="F280" s="46"/>
    </row>
    <row r="281">
      <c r="F281" s="46"/>
    </row>
    <row r="282">
      <c r="F282" s="46"/>
    </row>
    <row r="283">
      <c r="F283" s="46"/>
    </row>
    <row r="284">
      <c r="F284" s="46"/>
    </row>
    <row r="285">
      <c r="F285" s="46"/>
    </row>
    <row r="286">
      <c r="F286" s="46"/>
    </row>
    <row r="287">
      <c r="F287" s="46"/>
    </row>
    <row r="288">
      <c r="F288" s="46"/>
    </row>
    <row r="289">
      <c r="F289" s="46"/>
    </row>
    <row r="290">
      <c r="F290" s="46"/>
    </row>
    <row r="291">
      <c r="F291" s="46"/>
    </row>
    <row r="292">
      <c r="F292" s="46"/>
    </row>
    <row r="293">
      <c r="F293" s="46"/>
    </row>
    <row r="294">
      <c r="F294" s="46"/>
    </row>
    <row r="295">
      <c r="F295" s="46"/>
    </row>
    <row r="296">
      <c r="F296" s="46"/>
    </row>
    <row r="297">
      <c r="F297" s="46"/>
    </row>
    <row r="298">
      <c r="F298" s="46"/>
    </row>
    <row r="299">
      <c r="F299" s="46"/>
    </row>
    <row r="300">
      <c r="F300" s="46"/>
    </row>
    <row r="301">
      <c r="F301" s="46"/>
    </row>
    <row r="302">
      <c r="F302" s="46"/>
    </row>
    <row r="303">
      <c r="F303" s="46"/>
    </row>
    <row r="304">
      <c r="F304" s="46"/>
    </row>
    <row r="305">
      <c r="F305" s="46"/>
    </row>
    <row r="306">
      <c r="F306" s="46"/>
    </row>
    <row r="307">
      <c r="F307" s="46"/>
    </row>
    <row r="308">
      <c r="F308" s="46"/>
    </row>
    <row r="309">
      <c r="F309" s="46"/>
    </row>
    <row r="310">
      <c r="F310" s="46"/>
    </row>
    <row r="311">
      <c r="F311" s="46"/>
    </row>
    <row r="312">
      <c r="F312" s="46"/>
    </row>
    <row r="313">
      <c r="F313" s="46"/>
    </row>
    <row r="314">
      <c r="F314" s="46"/>
    </row>
    <row r="315">
      <c r="F315" s="46"/>
    </row>
    <row r="316">
      <c r="F316" s="46"/>
    </row>
    <row r="317">
      <c r="F317" s="46"/>
    </row>
    <row r="318">
      <c r="F318" s="46"/>
    </row>
    <row r="319">
      <c r="F319" s="46"/>
    </row>
    <row r="320">
      <c r="F320" s="46"/>
    </row>
    <row r="321">
      <c r="F321" s="46"/>
    </row>
    <row r="322">
      <c r="F322" s="46"/>
    </row>
    <row r="323">
      <c r="F323" s="46"/>
    </row>
    <row r="324">
      <c r="F324" s="46"/>
    </row>
    <row r="325">
      <c r="F325" s="46"/>
    </row>
    <row r="326">
      <c r="F326" s="46"/>
    </row>
    <row r="327">
      <c r="F327" s="46"/>
    </row>
    <row r="328">
      <c r="F328" s="46"/>
    </row>
    <row r="329">
      <c r="F329" s="46"/>
    </row>
    <row r="330">
      <c r="F330" s="46"/>
    </row>
    <row r="331">
      <c r="F331" s="46"/>
    </row>
    <row r="332">
      <c r="F332" s="46"/>
    </row>
    <row r="333">
      <c r="F333" s="46"/>
    </row>
    <row r="334">
      <c r="F334" s="46"/>
    </row>
    <row r="335">
      <c r="F335" s="46"/>
    </row>
    <row r="336">
      <c r="F336" s="46"/>
    </row>
    <row r="337">
      <c r="F337" s="46"/>
    </row>
    <row r="338">
      <c r="F338" s="46"/>
    </row>
    <row r="339">
      <c r="F339" s="46"/>
    </row>
    <row r="340">
      <c r="F340" s="46"/>
    </row>
    <row r="341">
      <c r="F341" s="46"/>
    </row>
    <row r="342">
      <c r="F342" s="46"/>
    </row>
    <row r="343">
      <c r="F343" s="46"/>
    </row>
    <row r="344">
      <c r="F344" s="46"/>
    </row>
    <row r="345">
      <c r="F345" s="46"/>
    </row>
    <row r="346">
      <c r="F346" s="46"/>
    </row>
    <row r="347">
      <c r="F347" s="46"/>
    </row>
    <row r="348">
      <c r="F348" s="46"/>
    </row>
    <row r="349">
      <c r="F349" s="46"/>
    </row>
    <row r="350">
      <c r="F350" s="46"/>
    </row>
    <row r="351">
      <c r="F351" s="46"/>
    </row>
    <row r="352">
      <c r="F352" s="46"/>
    </row>
    <row r="353">
      <c r="F353" s="46"/>
    </row>
    <row r="354">
      <c r="F354" s="46"/>
    </row>
    <row r="355">
      <c r="F355" s="46"/>
    </row>
    <row r="356">
      <c r="F356" s="46"/>
    </row>
    <row r="357">
      <c r="F357" s="46"/>
    </row>
    <row r="358">
      <c r="F358" s="46"/>
    </row>
    <row r="359">
      <c r="F359" s="46"/>
    </row>
    <row r="360">
      <c r="F360" s="46"/>
    </row>
    <row r="361">
      <c r="F361" s="46"/>
    </row>
    <row r="362">
      <c r="F362" s="46"/>
    </row>
    <row r="363">
      <c r="F363" s="46"/>
    </row>
    <row r="364">
      <c r="F364" s="46"/>
    </row>
    <row r="365">
      <c r="F365" s="46"/>
    </row>
    <row r="366">
      <c r="F366" s="46"/>
    </row>
    <row r="367">
      <c r="F367" s="46"/>
    </row>
    <row r="368">
      <c r="F368" s="46"/>
    </row>
    <row r="369">
      <c r="F369" s="46"/>
    </row>
    <row r="370">
      <c r="F370" s="46"/>
    </row>
    <row r="371">
      <c r="F371" s="46"/>
    </row>
    <row r="372">
      <c r="F372" s="46"/>
    </row>
    <row r="373">
      <c r="F373" s="46"/>
    </row>
    <row r="374">
      <c r="F374" s="46"/>
    </row>
    <row r="375">
      <c r="F375" s="46"/>
    </row>
    <row r="376">
      <c r="F376" s="46"/>
    </row>
    <row r="377">
      <c r="F377" s="46"/>
    </row>
    <row r="378">
      <c r="F378" s="46"/>
    </row>
    <row r="379">
      <c r="F379" s="46"/>
    </row>
    <row r="380">
      <c r="F380" s="46"/>
    </row>
    <row r="381">
      <c r="F381" s="46"/>
    </row>
    <row r="382">
      <c r="F382" s="46"/>
    </row>
    <row r="383">
      <c r="F383" s="46"/>
    </row>
    <row r="384">
      <c r="F384" s="46"/>
    </row>
    <row r="385">
      <c r="F385" s="46"/>
    </row>
    <row r="386">
      <c r="F386" s="46"/>
    </row>
    <row r="387">
      <c r="F387" s="46"/>
    </row>
    <row r="388">
      <c r="F388" s="46"/>
    </row>
    <row r="389">
      <c r="F389" s="46"/>
    </row>
    <row r="390">
      <c r="F390" s="46"/>
    </row>
    <row r="391">
      <c r="F391" s="46"/>
    </row>
    <row r="392">
      <c r="F392" s="46"/>
    </row>
    <row r="393">
      <c r="F393" s="46"/>
    </row>
    <row r="394">
      <c r="F394" s="46"/>
    </row>
    <row r="395">
      <c r="F395" s="46"/>
    </row>
    <row r="396">
      <c r="F396" s="46"/>
    </row>
    <row r="397">
      <c r="F397" s="46"/>
    </row>
    <row r="398">
      <c r="F398" s="46"/>
    </row>
    <row r="399">
      <c r="F399" s="46"/>
    </row>
    <row r="400">
      <c r="F400" s="46"/>
    </row>
    <row r="401">
      <c r="F401" s="46"/>
    </row>
    <row r="402">
      <c r="F402" s="46"/>
    </row>
    <row r="403">
      <c r="F403" s="46"/>
    </row>
    <row r="404">
      <c r="F404" s="46"/>
    </row>
    <row r="405">
      <c r="F405" s="46"/>
    </row>
    <row r="406">
      <c r="F406" s="46"/>
    </row>
    <row r="407">
      <c r="F407" s="46"/>
    </row>
    <row r="408">
      <c r="F408" s="46"/>
    </row>
    <row r="409">
      <c r="F409" s="46"/>
    </row>
    <row r="410">
      <c r="F410" s="46"/>
    </row>
    <row r="411">
      <c r="F411" s="46"/>
    </row>
    <row r="412">
      <c r="F412" s="46"/>
    </row>
    <row r="413">
      <c r="F413" s="46"/>
    </row>
    <row r="414">
      <c r="F414" s="46"/>
    </row>
    <row r="415">
      <c r="F415" s="46"/>
    </row>
    <row r="416">
      <c r="F416" s="46"/>
    </row>
    <row r="417">
      <c r="F417" s="46"/>
    </row>
    <row r="418">
      <c r="F418" s="46"/>
    </row>
    <row r="419">
      <c r="F419" s="46"/>
    </row>
    <row r="420">
      <c r="F420" s="46"/>
    </row>
    <row r="421">
      <c r="F421" s="46"/>
    </row>
    <row r="422">
      <c r="F422" s="46"/>
    </row>
    <row r="423">
      <c r="F423" s="46"/>
    </row>
    <row r="424">
      <c r="F424" s="46"/>
    </row>
    <row r="425">
      <c r="F425" s="46"/>
    </row>
    <row r="426">
      <c r="F426" s="46"/>
    </row>
    <row r="427">
      <c r="F427" s="46"/>
    </row>
    <row r="428">
      <c r="F428" s="46"/>
    </row>
    <row r="429">
      <c r="F429" s="46"/>
    </row>
    <row r="430">
      <c r="F430" s="46"/>
    </row>
    <row r="431">
      <c r="F431" s="46"/>
    </row>
    <row r="432">
      <c r="F432" s="46"/>
    </row>
    <row r="433">
      <c r="F433" s="46"/>
    </row>
    <row r="434">
      <c r="F434" s="46"/>
    </row>
    <row r="435">
      <c r="F435" s="46"/>
    </row>
    <row r="436">
      <c r="F436" s="46"/>
    </row>
    <row r="437">
      <c r="F437" s="46"/>
    </row>
    <row r="438">
      <c r="F438" s="46"/>
    </row>
    <row r="439">
      <c r="F439" s="46"/>
    </row>
    <row r="440">
      <c r="F440" s="46"/>
    </row>
    <row r="441">
      <c r="F441" s="46"/>
    </row>
    <row r="442">
      <c r="F442" s="46"/>
    </row>
    <row r="443">
      <c r="F443" s="46"/>
    </row>
    <row r="444">
      <c r="F444" s="46"/>
    </row>
    <row r="445">
      <c r="F445" s="46"/>
    </row>
    <row r="446">
      <c r="F446" s="46"/>
    </row>
    <row r="447">
      <c r="F447" s="46"/>
    </row>
    <row r="448">
      <c r="F448" s="46"/>
    </row>
    <row r="449">
      <c r="F449" s="46"/>
    </row>
    <row r="450">
      <c r="F450" s="46"/>
    </row>
    <row r="451">
      <c r="F451" s="46"/>
    </row>
    <row r="452">
      <c r="F452" s="46"/>
    </row>
    <row r="453">
      <c r="F453" s="46"/>
    </row>
    <row r="454">
      <c r="F454" s="46"/>
    </row>
    <row r="455">
      <c r="F455" s="46"/>
    </row>
    <row r="456">
      <c r="F456" s="46"/>
    </row>
    <row r="457">
      <c r="F457" s="46"/>
    </row>
    <row r="458">
      <c r="F458" s="46"/>
    </row>
    <row r="459">
      <c r="F459" s="46"/>
    </row>
    <row r="460">
      <c r="F460" s="46"/>
    </row>
    <row r="461">
      <c r="F461" s="46"/>
    </row>
    <row r="462">
      <c r="F462" s="46"/>
    </row>
    <row r="463">
      <c r="F463" s="46"/>
    </row>
    <row r="464">
      <c r="F464" s="46"/>
    </row>
    <row r="465">
      <c r="F465" s="46"/>
    </row>
    <row r="466">
      <c r="F466" s="46"/>
    </row>
    <row r="467">
      <c r="F467" s="46"/>
    </row>
    <row r="468">
      <c r="F468" s="46"/>
    </row>
    <row r="469">
      <c r="F469" s="46"/>
    </row>
    <row r="470">
      <c r="F470" s="46"/>
    </row>
    <row r="471">
      <c r="F471" s="46"/>
    </row>
    <row r="472">
      <c r="F472" s="46"/>
    </row>
    <row r="473">
      <c r="F473" s="46"/>
    </row>
    <row r="474">
      <c r="F474" s="46"/>
    </row>
    <row r="475">
      <c r="F475" s="46"/>
    </row>
    <row r="476">
      <c r="F476" s="46"/>
    </row>
    <row r="477">
      <c r="F477" s="46"/>
    </row>
    <row r="478">
      <c r="F478" s="46"/>
    </row>
    <row r="479">
      <c r="F479" s="46"/>
    </row>
    <row r="480">
      <c r="F480" s="46"/>
    </row>
    <row r="481">
      <c r="F481" s="46"/>
    </row>
    <row r="482">
      <c r="F482" s="46"/>
    </row>
    <row r="483">
      <c r="F483" s="46"/>
    </row>
    <row r="484">
      <c r="F484" s="46"/>
    </row>
    <row r="485">
      <c r="F485" s="46"/>
    </row>
    <row r="486">
      <c r="F486" s="46"/>
    </row>
    <row r="487">
      <c r="F487" s="46"/>
    </row>
    <row r="488">
      <c r="F488" s="46"/>
    </row>
    <row r="489">
      <c r="F489" s="46"/>
    </row>
    <row r="490">
      <c r="F490" s="46"/>
    </row>
    <row r="491">
      <c r="F491" s="46"/>
    </row>
    <row r="492">
      <c r="F492" s="46"/>
    </row>
    <row r="493">
      <c r="F493" s="46"/>
    </row>
    <row r="494">
      <c r="F494" s="46"/>
    </row>
    <row r="495">
      <c r="F495" s="46"/>
    </row>
    <row r="496">
      <c r="F496" s="46"/>
    </row>
    <row r="497">
      <c r="F497" s="46"/>
    </row>
    <row r="498">
      <c r="F498" s="46"/>
    </row>
    <row r="499">
      <c r="F499" s="46"/>
    </row>
    <row r="500">
      <c r="F500" s="46"/>
    </row>
    <row r="501">
      <c r="F501" s="46"/>
    </row>
    <row r="502">
      <c r="F502" s="46"/>
    </row>
    <row r="503">
      <c r="F503" s="46"/>
    </row>
    <row r="504">
      <c r="F504" s="46"/>
    </row>
    <row r="505">
      <c r="F505" s="46"/>
    </row>
    <row r="506">
      <c r="F506" s="46"/>
    </row>
    <row r="507">
      <c r="F507" s="46"/>
    </row>
    <row r="508">
      <c r="F508" s="46"/>
    </row>
    <row r="509">
      <c r="F509" s="46"/>
    </row>
    <row r="510">
      <c r="F510" s="46"/>
    </row>
    <row r="511">
      <c r="F511" s="46"/>
    </row>
    <row r="512">
      <c r="F512" s="46"/>
    </row>
    <row r="513">
      <c r="F513" s="46"/>
    </row>
    <row r="514">
      <c r="F514" s="46"/>
    </row>
    <row r="515">
      <c r="F515" s="46"/>
    </row>
    <row r="516">
      <c r="F516" s="46"/>
    </row>
    <row r="517">
      <c r="F517" s="46"/>
    </row>
    <row r="518">
      <c r="F518" s="46"/>
    </row>
    <row r="519">
      <c r="F519" s="46"/>
    </row>
    <row r="520">
      <c r="F520" s="46"/>
    </row>
    <row r="521">
      <c r="F521" s="46"/>
    </row>
    <row r="522">
      <c r="F522" s="46"/>
    </row>
    <row r="523">
      <c r="F523" s="46"/>
    </row>
    <row r="524">
      <c r="F524" s="46"/>
    </row>
    <row r="525">
      <c r="F525" s="46"/>
    </row>
    <row r="526">
      <c r="F526" s="46"/>
    </row>
    <row r="527">
      <c r="F527" s="46"/>
    </row>
    <row r="528">
      <c r="F528" s="46"/>
    </row>
    <row r="529">
      <c r="F529" s="46"/>
    </row>
    <row r="530">
      <c r="F530" s="46"/>
    </row>
    <row r="531">
      <c r="F531" s="46"/>
    </row>
    <row r="532">
      <c r="F532" s="46"/>
    </row>
    <row r="533">
      <c r="F533" s="46"/>
    </row>
    <row r="534">
      <c r="F534" s="46"/>
    </row>
    <row r="535">
      <c r="F535" s="46"/>
    </row>
    <row r="536">
      <c r="F536" s="46"/>
    </row>
    <row r="537">
      <c r="F537" s="46"/>
    </row>
    <row r="538">
      <c r="F538" s="46"/>
    </row>
    <row r="539">
      <c r="F539" s="46"/>
    </row>
    <row r="540">
      <c r="F540" s="46"/>
    </row>
    <row r="541">
      <c r="F541" s="46"/>
    </row>
    <row r="542">
      <c r="F542" s="46"/>
    </row>
    <row r="543">
      <c r="F543" s="46"/>
    </row>
    <row r="544">
      <c r="F544" s="46"/>
    </row>
    <row r="545">
      <c r="F545" s="46"/>
    </row>
    <row r="546">
      <c r="F546" s="46"/>
    </row>
    <row r="547">
      <c r="F547" s="46"/>
    </row>
    <row r="548">
      <c r="F548" s="46"/>
    </row>
    <row r="549">
      <c r="F549" s="46"/>
    </row>
    <row r="550">
      <c r="F550" s="46"/>
    </row>
    <row r="551">
      <c r="F551" s="46"/>
    </row>
    <row r="552">
      <c r="F552" s="46"/>
    </row>
    <row r="553">
      <c r="F553" s="46"/>
    </row>
    <row r="554">
      <c r="F554" s="46"/>
    </row>
    <row r="555">
      <c r="F555" s="46"/>
    </row>
    <row r="556">
      <c r="F556" s="46"/>
    </row>
    <row r="557">
      <c r="F557" s="46"/>
    </row>
    <row r="558">
      <c r="F558" s="46"/>
    </row>
    <row r="559">
      <c r="F559" s="46"/>
    </row>
    <row r="560">
      <c r="F560" s="46"/>
    </row>
    <row r="561">
      <c r="F561" s="46"/>
    </row>
    <row r="562">
      <c r="F562" s="46"/>
    </row>
    <row r="563">
      <c r="F563" s="46"/>
    </row>
    <row r="564">
      <c r="F564" s="46"/>
    </row>
    <row r="565">
      <c r="F565" s="46"/>
    </row>
    <row r="566">
      <c r="F566" s="46"/>
    </row>
    <row r="567">
      <c r="F567" s="46"/>
    </row>
    <row r="568">
      <c r="F568" s="46"/>
    </row>
    <row r="569">
      <c r="F569" s="46"/>
    </row>
    <row r="570">
      <c r="F570" s="46"/>
    </row>
    <row r="571">
      <c r="F571" s="46"/>
    </row>
    <row r="572">
      <c r="F572" s="46"/>
    </row>
    <row r="573">
      <c r="F573" s="46"/>
    </row>
    <row r="574">
      <c r="F574" s="46"/>
    </row>
    <row r="575">
      <c r="F575" s="46"/>
    </row>
    <row r="576">
      <c r="F576" s="46"/>
    </row>
    <row r="577">
      <c r="F577" s="46"/>
    </row>
    <row r="578">
      <c r="F578" s="46"/>
    </row>
    <row r="579">
      <c r="F579" s="46"/>
    </row>
    <row r="580">
      <c r="F580" s="46"/>
    </row>
    <row r="581">
      <c r="F581" s="46"/>
    </row>
    <row r="582">
      <c r="F582" s="46"/>
    </row>
    <row r="583">
      <c r="F583" s="46"/>
    </row>
    <row r="584">
      <c r="F584" s="46"/>
    </row>
    <row r="585">
      <c r="F585" s="46"/>
    </row>
    <row r="586">
      <c r="F586" s="46"/>
    </row>
    <row r="587">
      <c r="F587" s="46"/>
    </row>
    <row r="588">
      <c r="F588" s="46"/>
    </row>
    <row r="589">
      <c r="F589" s="46"/>
    </row>
    <row r="590">
      <c r="F590" s="46"/>
    </row>
    <row r="591">
      <c r="F591" s="46"/>
    </row>
    <row r="592">
      <c r="F592" s="46"/>
    </row>
    <row r="593">
      <c r="F593" s="46"/>
    </row>
    <row r="594">
      <c r="F594" s="46"/>
    </row>
    <row r="595">
      <c r="F595" s="46"/>
    </row>
    <row r="596">
      <c r="F596" s="46"/>
    </row>
    <row r="597">
      <c r="F597" s="46"/>
    </row>
    <row r="598">
      <c r="F598" s="46"/>
    </row>
    <row r="599">
      <c r="F599" s="46"/>
    </row>
    <row r="600">
      <c r="F600" s="46"/>
    </row>
    <row r="601">
      <c r="F601" s="46"/>
    </row>
    <row r="602">
      <c r="F602" s="46"/>
    </row>
    <row r="603">
      <c r="F603" s="46"/>
    </row>
    <row r="604">
      <c r="F604" s="46"/>
    </row>
    <row r="605">
      <c r="F605" s="46"/>
    </row>
    <row r="606">
      <c r="F606" s="46"/>
    </row>
    <row r="607">
      <c r="F607" s="46"/>
    </row>
    <row r="608">
      <c r="F608" s="46"/>
    </row>
    <row r="609">
      <c r="F609" s="46"/>
    </row>
    <row r="610">
      <c r="F610" s="46"/>
    </row>
    <row r="611">
      <c r="F611" s="46"/>
    </row>
    <row r="612">
      <c r="F612" s="46"/>
    </row>
    <row r="613">
      <c r="F613" s="46"/>
    </row>
    <row r="614">
      <c r="F614" s="46"/>
    </row>
    <row r="615">
      <c r="F615" s="46"/>
    </row>
    <row r="616">
      <c r="F616" s="46"/>
    </row>
    <row r="617">
      <c r="F617" s="46"/>
    </row>
    <row r="618">
      <c r="F618" s="46"/>
    </row>
    <row r="619">
      <c r="F619" s="46"/>
    </row>
    <row r="620">
      <c r="F620" s="46"/>
    </row>
    <row r="621">
      <c r="F621" s="46"/>
    </row>
    <row r="622">
      <c r="F622" s="46"/>
    </row>
    <row r="623">
      <c r="F623" s="46"/>
    </row>
    <row r="624">
      <c r="F624" s="46"/>
    </row>
    <row r="625">
      <c r="F625" s="46"/>
    </row>
    <row r="626">
      <c r="F626" s="46"/>
    </row>
    <row r="627">
      <c r="F627" s="46"/>
    </row>
    <row r="628">
      <c r="F628" s="46"/>
    </row>
    <row r="629">
      <c r="F629" s="46"/>
    </row>
    <row r="630">
      <c r="F630" s="46"/>
    </row>
    <row r="631">
      <c r="F631" s="46"/>
    </row>
    <row r="632">
      <c r="F632" s="46"/>
    </row>
    <row r="633">
      <c r="F633" s="46"/>
    </row>
    <row r="634">
      <c r="F634" s="46"/>
    </row>
    <row r="635">
      <c r="F635" s="46"/>
    </row>
    <row r="636">
      <c r="F636" s="46"/>
    </row>
    <row r="637">
      <c r="F637" s="46"/>
    </row>
    <row r="638">
      <c r="F638" s="46"/>
    </row>
    <row r="639">
      <c r="F639" s="46"/>
    </row>
    <row r="640">
      <c r="F640" s="46"/>
    </row>
    <row r="641">
      <c r="F641" s="46"/>
    </row>
    <row r="642">
      <c r="F642" s="46"/>
    </row>
    <row r="643">
      <c r="F643" s="46"/>
    </row>
    <row r="644">
      <c r="F644" s="46"/>
    </row>
    <row r="645">
      <c r="F645" s="46"/>
    </row>
    <row r="646">
      <c r="F646" s="46"/>
    </row>
    <row r="647">
      <c r="F647" s="46"/>
    </row>
    <row r="648">
      <c r="F648" s="46"/>
    </row>
    <row r="649">
      <c r="F649" s="46"/>
    </row>
    <row r="650">
      <c r="F650" s="46"/>
    </row>
    <row r="651">
      <c r="F651" s="46"/>
    </row>
    <row r="652">
      <c r="F652" s="46"/>
    </row>
    <row r="653">
      <c r="F653" s="46"/>
    </row>
    <row r="654">
      <c r="F654" s="46"/>
    </row>
    <row r="655">
      <c r="F655" s="46"/>
    </row>
    <row r="656">
      <c r="F656" s="46"/>
    </row>
    <row r="657">
      <c r="F657" s="46"/>
    </row>
    <row r="658">
      <c r="F658" s="46"/>
    </row>
    <row r="659">
      <c r="F659" s="46"/>
    </row>
    <row r="660">
      <c r="F660" s="46"/>
    </row>
    <row r="661">
      <c r="F661" s="46"/>
    </row>
    <row r="662">
      <c r="F662" s="46"/>
    </row>
    <row r="663">
      <c r="F663" s="46"/>
    </row>
    <row r="664">
      <c r="F664" s="46"/>
    </row>
    <row r="665">
      <c r="F665" s="46"/>
    </row>
    <row r="666">
      <c r="F666" s="46"/>
    </row>
    <row r="667">
      <c r="F667" s="46"/>
    </row>
    <row r="668">
      <c r="F668" s="46"/>
    </row>
    <row r="669">
      <c r="F669" s="46"/>
    </row>
    <row r="670">
      <c r="F670" s="46"/>
    </row>
    <row r="671">
      <c r="F671" s="46"/>
    </row>
    <row r="672">
      <c r="F672" s="46"/>
    </row>
    <row r="673">
      <c r="F673" s="46"/>
    </row>
    <row r="674">
      <c r="F674" s="46"/>
    </row>
    <row r="675">
      <c r="F675" s="46"/>
    </row>
    <row r="676">
      <c r="F676" s="46"/>
    </row>
    <row r="677">
      <c r="F677" s="46"/>
    </row>
    <row r="678">
      <c r="F678" s="46"/>
    </row>
    <row r="679">
      <c r="F679" s="46"/>
    </row>
    <row r="680">
      <c r="F680" s="46"/>
    </row>
    <row r="681">
      <c r="F681" s="46"/>
    </row>
    <row r="682">
      <c r="F682" s="46"/>
    </row>
    <row r="683">
      <c r="F683" s="46"/>
    </row>
    <row r="684">
      <c r="F684" s="46"/>
    </row>
    <row r="685">
      <c r="F685" s="46"/>
    </row>
    <row r="686">
      <c r="F686" s="46"/>
    </row>
    <row r="687">
      <c r="F687" s="46"/>
    </row>
    <row r="688">
      <c r="F688" s="46"/>
    </row>
    <row r="689">
      <c r="F689" s="46"/>
    </row>
    <row r="690">
      <c r="F690" s="46"/>
    </row>
    <row r="691">
      <c r="F691" s="46"/>
    </row>
    <row r="692">
      <c r="F692" s="46"/>
    </row>
    <row r="693">
      <c r="F693" s="46"/>
    </row>
    <row r="694">
      <c r="F694" s="46"/>
    </row>
    <row r="695">
      <c r="F695" s="46"/>
    </row>
    <row r="696">
      <c r="F696" s="46"/>
    </row>
    <row r="697">
      <c r="F697" s="46"/>
    </row>
    <row r="698">
      <c r="F698" s="46"/>
    </row>
    <row r="699">
      <c r="F699" s="46"/>
    </row>
    <row r="700">
      <c r="F700" s="46"/>
    </row>
    <row r="701">
      <c r="F701" s="46"/>
    </row>
    <row r="702">
      <c r="F702" s="46"/>
    </row>
    <row r="703">
      <c r="F703" s="46"/>
    </row>
    <row r="704">
      <c r="F704" s="46"/>
    </row>
    <row r="705">
      <c r="F705" s="46"/>
    </row>
    <row r="706">
      <c r="F706" s="46"/>
    </row>
    <row r="707">
      <c r="F707" s="46"/>
    </row>
    <row r="708">
      <c r="F708" s="46"/>
    </row>
    <row r="709">
      <c r="F709" s="46"/>
    </row>
    <row r="710">
      <c r="F710" s="46"/>
    </row>
    <row r="711">
      <c r="F711" s="46"/>
    </row>
    <row r="712">
      <c r="F712" s="46"/>
    </row>
    <row r="713">
      <c r="F713" s="46"/>
    </row>
    <row r="714">
      <c r="F714" s="46"/>
    </row>
    <row r="715">
      <c r="F715" s="46"/>
    </row>
    <row r="716">
      <c r="F716" s="46"/>
    </row>
    <row r="717">
      <c r="F717" s="46"/>
    </row>
    <row r="718">
      <c r="F718" s="46"/>
    </row>
    <row r="719">
      <c r="F719" s="46"/>
    </row>
    <row r="720">
      <c r="F720" s="46"/>
    </row>
    <row r="721">
      <c r="F721" s="46"/>
    </row>
    <row r="722">
      <c r="F722" s="46"/>
    </row>
    <row r="723">
      <c r="F723" s="46"/>
    </row>
    <row r="724">
      <c r="F724" s="46"/>
    </row>
    <row r="725">
      <c r="F725" s="46"/>
    </row>
    <row r="726">
      <c r="F726" s="46"/>
    </row>
    <row r="727">
      <c r="F727" s="46"/>
    </row>
    <row r="728">
      <c r="F728" s="46"/>
    </row>
    <row r="729">
      <c r="F729" s="46"/>
    </row>
    <row r="730">
      <c r="F730" s="46"/>
    </row>
    <row r="731">
      <c r="F731" s="46"/>
    </row>
    <row r="732">
      <c r="F732" s="46"/>
    </row>
    <row r="733">
      <c r="F733" s="46"/>
    </row>
    <row r="734">
      <c r="F734" s="46"/>
    </row>
    <row r="735">
      <c r="F735" s="46"/>
    </row>
    <row r="736">
      <c r="F736" s="46"/>
    </row>
    <row r="737">
      <c r="F737" s="46"/>
    </row>
    <row r="738">
      <c r="F738" s="46"/>
    </row>
    <row r="739">
      <c r="F739" s="46"/>
    </row>
    <row r="740">
      <c r="F740" s="46"/>
    </row>
    <row r="741">
      <c r="F741" s="46"/>
    </row>
    <row r="742">
      <c r="F742" s="46"/>
    </row>
    <row r="743">
      <c r="F743" s="46"/>
    </row>
    <row r="744">
      <c r="F744" s="46"/>
    </row>
    <row r="745">
      <c r="F745" s="46"/>
    </row>
    <row r="746">
      <c r="F746" s="46"/>
    </row>
    <row r="747">
      <c r="F747" s="46"/>
    </row>
    <row r="748">
      <c r="F748" s="46"/>
    </row>
    <row r="749">
      <c r="F749" s="46"/>
    </row>
    <row r="750">
      <c r="F750" s="46"/>
    </row>
    <row r="751">
      <c r="F751" s="46"/>
    </row>
    <row r="752">
      <c r="F752" s="46"/>
    </row>
    <row r="753">
      <c r="F753" s="46"/>
    </row>
    <row r="754">
      <c r="F754" s="46"/>
    </row>
    <row r="755">
      <c r="F755" s="46"/>
    </row>
    <row r="756">
      <c r="F756" s="46"/>
    </row>
    <row r="757">
      <c r="F757" s="46"/>
    </row>
    <row r="758">
      <c r="F758" s="46"/>
    </row>
    <row r="759">
      <c r="F759" s="46"/>
    </row>
    <row r="760">
      <c r="F760" s="46"/>
    </row>
    <row r="761">
      <c r="F761" s="46"/>
    </row>
    <row r="762">
      <c r="F762" s="46"/>
    </row>
    <row r="763">
      <c r="F763" s="46"/>
    </row>
    <row r="764">
      <c r="F764" s="46"/>
    </row>
    <row r="765">
      <c r="F765" s="46"/>
    </row>
    <row r="766">
      <c r="F766" s="46"/>
    </row>
    <row r="767">
      <c r="F767" s="46"/>
    </row>
    <row r="768">
      <c r="F768" s="46"/>
    </row>
    <row r="769">
      <c r="F769" s="46"/>
    </row>
    <row r="770">
      <c r="F770" s="46"/>
    </row>
    <row r="771">
      <c r="F771" s="46"/>
    </row>
    <row r="772">
      <c r="F772" s="46"/>
    </row>
    <row r="773">
      <c r="F773" s="46"/>
    </row>
    <row r="774">
      <c r="F774" s="46"/>
    </row>
    <row r="775">
      <c r="F775" s="46"/>
    </row>
    <row r="776">
      <c r="F776" s="46"/>
    </row>
    <row r="777">
      <c r="F777" s="46"/>
    </row>
    <row r="778">
      <c r="F778" s="46"/>
    </row>
    <row r="779">
      <c r="F779" s="46"/>
    </row>
    <row r="780">
      <c r="F780" s="46"/>
    </row>
    <row r="781">
      <c r="F781" s="46"/>
    </row>
    <row r="782">
      <c r="F782" s="46"/>
    </row>
    <row r="783">
      <c r="F783" s="46"/>
    </row>
    <row r="784">
      <c r="F784" s="46"/>
    </row>
    <row r="785">
      <c r="F785" s="46"/>
    </row>
    <row r="786">
      <c r="F786" s="46"/>
    </row>
    <row r="787">
      <c r="F787" s="46"/>
    </row>
    <row r="788">
      <c r="F788" s="46"/>
    </row>
    <row r="789">
      <c r="F789" s="46"/>
    </row>
    <row r="790">
      <c r="F790" s="46"/>
    </row>
    <row r="791">
      <c r="F791" s="46"/>
    </row>
    <row r="792">
      <c r="F792" s="46"/>
    </row>
    <row r="793">
      <c r="F793" s="46"/>
    </row>
    <row r="794">
      <c r="F794" s="46"/>
    </row>
    <row r="795">
      <c r="F795" s="46"/>
    </row>
    <row r="796">
      <c r="F796" s="46"/>
    </row>
    <row r="797">
      <c r="F797" s="46"/>
    </row>
    <row r="798">
      <c r="F798" s="46"/>
    </row>
    <row r="799">
      <c r="F799" s="46"/>
    </row>
    <row r="800">
      <c r="F800" s="46"/>
    </row>
    <row r="801">
      <c r="F801" s="46"/>
    </row>
    <row r="802">
      <c r="F802" s="46"/>
    </row>
    <row r="803">
      <c r="F803" s="46"/>
    </row>
    <row r="804">
      <c r="F804" s="46"/>
    </row>
    <row r="805">
      <c r="F805" s="46"/>
    </row>
    <row r="806">
      <c r="F806" s="46"/>
    </row>
    <row r="807">
      <c r="F807" s="46"/>
    </row>
    <row r="808">
      <c r="F808" s="46"/>
    </row>
    <row r="809">
      <c r="F809" s="46"/>
    </row>
    <row r="810">
      <c r="F810" s="46"/>
    </row>
    <row r="811">
      <c r="F811" s="46"/>
    </row>
    <row r="812">
      <c r="F812" s="46"/>
    </row>
    <row r="813">
      <c r="F813" s="46"/>
    </row>
    <row r="814">
      <c r="F814" s="46"/>
    </row>
    <row r="815">
      <c r="F815" s="46"/>
    </row>
    <row r="816">
      <c r="F816" s="46"/>
    </row>
    <row r="817">
      <c r="F817" s="46"/>
    </row>
    <row r="818">
      <c r="F818" s="46"/>
    </row>
    <row r="819">
      <c r="F819" s="46"/>
    </row>
    <row r="820">
      <c r="F820" s="46"/>
    </row>
    <row r="821">
      <c r="F821" s="46"/>
    </row>
    <row r="822">
      <c r="F822" s="46"/>
    </row>
    <row r="823">
      <c r="F823" s="46"/>
    </row>
    <row r="824">
      <c r="F824" s="46"/>
    </row>
    <row r="825">
      <c r="F825" s="46"/>
    </row>
    <row r="826">
      <c r="F826" s="46"/>
    </row>
    <row r="827">
      <c r="F827" s="46"/>
    </row>
    <row r="828">
      <c r="F828" s="46"/>
    </row>
    <row r="829">
      <c r="F829" s="46"/>
    </row>
    <row r="830">
      <c r="F830" s="46"/>
    </row>
    <row r="831">
      <c r="F831" s="46"/>
    </row>
    <row r="832">
      <c r="F832" s="46"/>
    </row>
    <row r="833">
      <c r="F833" s="46"/>
    </row>
    <row r="834">
      <c r="F834" s="46"/>
    </row>
    <row r="835">
      <c r="F835" s="46"/>
    </row>
    <row r="836">
      <c r="F836" s="46"/>
    </row>
    <row r="837">
      <c r="F837" s="46"/>
    </row>
    <row r="838">
      <c r="F838" s="46"/>
    </row>
    <row r="839">
      <c r="F839" s="46"/>
    </row>
    <row r="840">
      <c r="F840" s="46"/>
    </row>
    <row r="841">
      <c r="F841" s="46"/>
    </row>
    <row r="842">
      <c r="F842" s="46"/>
    </row>
    <row r="843">
      <c r="F843" s="46"/>
    </row>
    <row r="844">
      <c r="F844" s="46"/>
    </row>
    <row r="845">
      <c r="F845" s="46"/>
    </row>
    <row r="846">
      <c r="F846" s="46"/>
    </row>
    <row r="847">
      <c r="F847" s="46"/>
    </row>
    <row r="848">
      <c r="F848" s="46"/>
    </row>
    <row r="849">
      <c r="F849" s="46"/>
    </row>
    <row r="850">
      <c r="F850" s="46"/>
    </row>
    <row r="851">
      <c r="F851" s="46"/>
    </row>
    <row r="852">
      <c r="F852" s="46"/>
    </row>
    <row r="853">
      <c r="F853" s="46"/>
    </row>
    <row r="854">
      <c r="F854" s="46"/>
    </row>
    <row r="855">
      <c r="F855" s="46"/>
    </row>
    <row r="856">
      <c r="F856" s="46"/>
    </row>
    <row r="857">
      <c r="F857" s="46"/>
    </row>
    <row r="858">
      <c r="F858" s="46"/>
    </row>
    <row r="859">
      <c r="F859" s="46"/>
    </row>
    <row r="860">
      <c r="F860" s="46"/>
    </row>
    <row r="861">
      <c r="F861" s="46"/>
    </row>
    <row r="862">
      <c r="F862" s="46"/>
    </row>
    <row r="863">
      <c r="F863" s="46"/>
    </row>
    <row r="864">
      <c r="F864" s="46"/>
    </row>
    <row r="865">
      <c r="F865" s="46"/>
    </row>
    <row r="866">
      <c r="F866" s="46"/>
    </row>
    <row r="867">
      <c r="F867" s="46"/>
    </row>
    <row r="868">
      <c r="F868" s="46"/>
    </row>
    <row r="869">
      <c r="F869" s="46"/>
    </row>
    <row r="870">
      <c r="F870" s="46"/>
    </row>
    <row r="871">
      <c r="F871" s="46"/>
    </row>
    <row r="872">
      <c r="F872" s="46"/>
    </row>
    <row r="873">
      <c r="F873" s="46"/>
    </row>
    <row r="874">
      <c r="F874" s="46"/>
    </row>
    <row r="875">
      <c r="F875" s="46"/>
    </row>
    <row r="876">
      <c r="F876" s="46"/>
    </row>
    <row r="877">
      <c r="F877" s="46"/>
    </row>
    <row r="878">
      <c r="F878" s="46"/>
    </row>
    <row r="879">
      <c r="F879" s="46"/>
    </row>
    <row r="880">
      <c r="F880" s="46"/>
    </row>
    <row r="881">
      <c r="F881" s="46"/>
    </row>
    <row r="882">
      <c r="F882" s="46"/>
    </row>
    <row r="883">
      <c r="F883" s="46"/>
    </row>
    <row r="884">
      <c r="F884" s="46"/>
    </row>
    <row r="885">
      <c r="F885" s="46"/>
    </row>
    <row r="886">
      <c r="F886" s="46"/>
    </row>
    <row r="887">
      <c r="F887" s="46"/>
    </row>
    <row r="888">
      <c r="F888" s="46"/>
    </row>
    <row r="889">
      <c r="F889" s="46"/>
    </row>
    <row r="890">
      <c r="F890" s="46"/>
    </row>
    <row r="891">
      <c r="F891" s="46"/>
    </row>
    <row r="892">
      <c r="F892" s="46"/>
    </row>
    <row r="893">
      <c r="F893" s="46"/>
    </row>
    <row r="894">
      <c r="F894" s="46"/>
    </row>
    <row r="895">
      <c r="F895" s="46"/>
    </row>
    <row r="896">
      <c r="F896" s="46"/>
    </row>
    <row r="897">
      <c r="F897" s="46"/>
    </row>
    <row r="898">
      <c r="F898" s="46"/>
    </row>
    <row r="899">
      <c r="F899" s="46"/>
    </row>
    <row r="900">
      <c r="F900" s="46"/>
    </row>
    <row r="901">
      <c r="F901" s="46"/>
    </row>
    <row r="902">
      <c r="F902" s="46"/>
    </row>
    <row r="903">
      <c r="F903" s="46"/>
    </row>
    <row r="904">
      <c r="F904" s="46"/>
    </row>
    <row r="905">
      <c r="F905" s="46"/>
    </row>
    <row r="906">
      <c r="F906" s="46"/>
    </row>
    <row r="907">
      <c r="F907" s="46"/>
    </row>
    <row r="908">
      <c r="F908" s="46"/>
    </row>
    <row r="909">
      <c r="F909" s="46"/>
    </row>
    <row r="910">
      <c r="F910" s="46"/>
    </row>
    <row r="911">
      <c r="F911" s="46"/>
    </row>
    <row r="912">
      <c r="F912" s="46"/>
    </row>
    <row r="913">
      <c r="F913" s="46"/>
    </row>
    <row r="914">
      <c r="F914" s="46"/>
    </row>
    <row r="915">
      <c r="F915" s="46"/>
    </row>
    <row r="916">
      <c r="F916" s="46"/>
    </row>
    <row r="917">
      <c r="F917" s="46"/>
    </row>
    <row r="918">
      <c r="F918" s="46"/>
    </row>
    <row r="919">
      <c r="F919" s="46"/>
    </row>
    <row r="920">
      <c r="F920" s="46"/>
    </row>
    <row r="921">
      <c r="F921" s="46"/>
    </row>
    <row r="922">
      <c r="F922" s="46"/>
    </row>
    <row r="923">
      <c r="F923" s="46"/>
    </row>
    <row r="924">
      <c r="F924" s="46"/>
    </row>
    <row r="925">
      <c r="F925" s="46"/>
    </row>
    <row r="926">
      <c r="F926" s="46"/>
    </row>
    <row r="927">
      <c r="F927" s="46"/>
    </row>
    <row r="928">
      <c r="F928" s="46"/>
    </row>
    <row r="929">
      <c r="F929" s="46"/>
    </row>
    <row r="930">
      <c r="F930" s="46"/>
    </row>
    <row r="931">
      <c r="F931" s="46"/>
    </row>
    <row r="932">
      <c r="F932" s="46"/>
    </row>
    <row r="933">
      <c r="F933" s="46"/>
    </row>
    <row r="934">
      <c r="F934" s="46"/>
    </row>
    <row r="935">
      <c r="F935" s="46"/>
    </row>
    <row r="936">
      <c r="F936" s="46"/>
    </row>
    <row r="937">
      <c r="F937" s="46"/>
    </row>
    <row r="938">
      <c r="F938" s="46"/>
    </row>
    <row r="939">
      <c r="F939" s="46"/>
    </row>
    <row r="940">
      <c r="F940" s="46"/>
    </row>
    <row r="941">
      <c r="F941" s="46"/>
    </row>
    <row r="942">
      <c r="F942" s="46"/>
    </row>
    <row r="943">
      <c r="F943" s="46"/>
    </row>
    <row r="944">
      <c r="F944" s="46"/>
    </row>
    <row r="945">
      <c r="F945" s="46"/>
    </row>
    <row r="946">
      <c r="F946" s="46"/>
    </row>
    <row r="947">
      <c r="F947" s="46"/>
    </row>
    <row r="948">
      <c r="F948" s="46"/>
    </row>
    <row r="949">
      <c r="F949" s="46"/>
    </row>
    <row r="950">
      <c r="F950" s="46"/>
    </row>
    <row r="951">
      <c r="F951" s="46"/>
    </row>
    <row r="952">
      <c r="F952" s="46"/>
    </row>
    <row r="953">
      <c r="F953" s="46"/>
    </row>
    <row r="954">
      <c r="F954" s="46"/>
    </row>
    <row r="955">
      <c r="F955" s="46"/>
    </row>
    <row r="956">
      <c r="F956" s="46"/>
    </row>
    <row r="957">
      <c r="F957" s="46"/>
    </row>
    <row r="958">
      <c r="F958" s="46"/>
    </row>
    <row r="959">
      <c r="F959" s="46"/>
    </row>
    <row r="960">
      <c r="F960" s="46"/>
    </row>
    <row r="961">
      <c r="F961" s="46"/>
    </row>
    <row r="962">
      <c r="F962" s="46"/>
    </row>
    <row r="963">
      <c r="F963" s="46"/>
    </row>
    <row r="964">
      <c r="F964" s="46"/>
    </row>
    <row r="965">
      <c r="F965" s="46"/>
    </row>
    <row r="966">
      <c r="F966" s="46"/>
    </row>
    <row r="967">
      <c r="F967" s="46"/>
    </row>
    <row r="968">
      <c r="F968" s="46"/>
    </row>
    <row r="969">
      <c r="F969" s="46"/>
    </row>
    <row r="970">
      <c r="F970" s="46"/>
    </row>
    <row r="971">
      <c r="F971" s="46"/>
    </row>
    <row r="972">
      <c r="F972" s="46"/>
    </row>
    <row r="973">
      <c r="F973" s="46"/>
    </row>
    <row r="974">
      <c r="F974" s="46"/>
    </row>
    <row r="975">
      <c r="F975" s="46"/>
    </row>
    <row r="976">
      <c r="F976" s="46"/>
    </row>
    <row r="977">
      <c r="F977" s="46"/>
    </row>
    <row r="978">
      <c r="F978" s="46"/>
    </row>
    <row r="979">
      <c r="F979" s="46"/>
    </row>
    <row r="980">
      <c r="F980" s="46"/>
    </row>
    <row r="981">
      <c r="F981" s="46"/>
    </row>
    <row r="982">
      <c r="F982" s="46"/>
    </row>
    <row r="983">
      <c r="F983" s="46"/>
    </row>
    <row r="984">
      <c r="F984" s="46"/>
    </row>
    <row r="985">
      <c r="F985" s="46"/>
    </row>
    <row r="986">
      <c r="F986" s="46"/>
    </row>
    <row r="987">
      <c r="F987" s="46"/>
    </row>
    <row r="988">
      <c r="F988" s="46"/>
    </row>
    <row r="989">
      <c r="F989" s="46"/>
    </row>
    <row r="990">
      <c r="F990" s="46"/>
    </row>
    <row r="991">
      <c r="F991" s="46"/>
    </row>
    <row r="992">
      <c r="F992" s="46"/>
    </row>
    <row r="993">
      <c r="F993" s="46"/>
    </row>
    <row r="994">
      <c r="F994" s="46"/>
    </row>
    <row r="995">
      <c r="F995" s="46"/>
    </row>
    <row r="996">
      <c r="F996" s="46"/>
    </row>
    <row r="997">
      <c r="F997" s="46"/>
    </row>
    <row r="998">
      <c r="F998" s="46"/>
    </row>
    <row r="999">
      <c r="F999" s="46"/>
    </row>
    <row r="1000">
      <c r="F1000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33.13"/>
    <col customWidth="1" min="3" max="3" width="8.88"/>
    <col customWidth="1" min="4" max="4" width="12.5"/>
    <col customWidth="1" min="5" max="5" width="2.88"/>
    <col customWidth="1" min="6" max="6" width="30.38"/>
    <col customWidth="1" min="7" max="8" width="12.5"/>
    <col customWidth="1" min="9" max="9" width="20.25"/>
    <col customWidth="1" min="10" max="10" width="14.5"/>
    <col customWidth="1" min="11" max="11" width="3.13"/>
    <col customWidth="1" min="12" max="12" width="19.38"/>
    <col customWidth="1" min="13" max="18" width="12.5"/>
  </cols>
  <sheetData>
    <row r="1" ht="15.75" customHeight="1"/>
    <row r="2" ht="15.75" customHeight="1">
      <c r="B2" s="1" t="s">
        <v>0</v>
      </c>
      <c r="C2" s="1"/>
      <c r="D2" s="1"/>
      <c r="E2" s="1"/>
      <c r="F2" s="1"/>
      <c r="G2" s="1"/>
    </row>
    <row r="3" ht="15.75" customHeight="1"/>
    <row r="4" ht="15.75" customHeight="1">
      <c r="B4" s="2" t="s">
        <v>1</v>
      </c>
      <c r="C4" s="3"/>
      <c r="D4" s="4"/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6"/>
      <c r="L4" s="7" t="s">
        <v>7</v>
      </c>
      <c r="M4" s="8" t="s">
        <v>8</v>
      </c>
      <c r="N4" s="8" t="s">
        <v>9</v>
      </c>
      <c r="O4" s="8" t="s">
        <v>10</v>
      </c>
      <c r="P4" s="8" t="s">
        <v>11</v>
      </c>
      <c r="Q4" s="9" t="s">
        <v>12</v>
      </c>
    </row>
    <row r="5" ht="15.75" customHeight="1">
      <c r="B5" s="10" t="s">
        <v>13</v>
      </c>
      <c r="C5" s="10"/>
      <c r="D5" s="11">
        <f>G28</f>
        <v>3850000</v>
      </c>
      <c r="F5" s="12" t="s">
        <v>14</v>
      </c>
      <c r="G5" s="13">
        <f t="shared" ref="G5:G7" si="1">D6</f>
        <v>2887500</v>
      </c>
      <c r="H5" s="14">
        <v>0.065</v>
      </c>
      <c r="I5" s="15">
        <v>25.0</v>
      </c>
      <c r="J5" s="16">
        <f>PMT(H5/12,I5*12,-G5,0,0)</f>
        <v>19496.60678</v>
      </c>
      <c r="K5" s="17"/>
      <c r="L5" s="18"/>
      <c r="M5" s="19">
        <f t="shared" ref="M5:M7" si="2">iferror(CUMPRINC(H5/12,I5*12,G5,1,12,0),"")</f>
        <v>-47675.49071</v>
      </c>
      <c r="N5" s="19">
        <f t="shared" ref="N5:N7" si="3">iferror(CUMPRINC(H5/12,I5*12,G5,13,24,0),"")</f>
        <v>-50868.40662</v>
      </c>
      <c r="O5" s="19">
        <f t="shared" ref="O5:O7" si="4">iferror(CUMPRINC(H5/12,I5*12,G5,25,36,0),"")</f>
        <v>-54275.15802</v>
      </c>
      <c r="P5" s="19">
        <f t="shared" ref="P5:P7" si="5">iferror(CUMPRINC(H5/12,I5*12,G5,37,48,0),"")</f>
        <v>-57910.06587</v>
      </c>
      <c r="Q5" s="19">
        <f t="shared" ref="Q5:Q7" si="6">iferror(CUMPRINC(H5/12,I5*12,G5,49,60,0),"")</f>
        <v>-61788.41023</v>
      </c>
    </row>
    <row r="6" ht="15.75" customHeight="1">
      <c r="B6" s="10" t="s">
        <v>15</v>
      </c>
      <c r="C6" s="20">
        <v>0.75</v>
      </c>
      <c r="D6" s="21">
        <f>C6*D5</f>
        <v>2887500</v>
      </c>
      <c r="F6" s="22" t="s">
        <v>16</v>
      </c>
      <c r="G6" s="23">
        <f t="shared" si="1"/>
        <v>0</v>
      </c>
      <c r="H6" s="24">
        <v>0.0675</v>
      </c>
      <c r="I6" s="25">
        <v>25.0</v>
      </c>
      <c r="J6" s="26">
        <f t="shared" ref="J6:J7" si="7">PMT(H6/12,I6*12,-G6,0,1)</f>
        <v>0</v>
      </c>
      <c r="K6" s="17"/>
      <c r="L6" s="18"/>
      <c r="M6" s="19" t="str">
        <f t="shared" si="2"/>
        <v/>
      </c>
      <c r="N6" s="19" t="str">
        <f t="shared" si="3"/>
        <v/>
      </c>
      <c r="O6" s="19" t="str">
        <f t="shared" si="4"/>
        <v/>
      </c>
      <c r="P6" s="19" t="str">
        <f t="shared" si="5"/>
        <v/>
      </c>
      <c r="Q6" s="19" t="str">
        <f t="shared" si="6"/>
        <v/>
      </c>
    </row>
    <row r="7" ht="15.75" customHeight="1">
      <c r="B7" s="10" t="s">
        <v>17</v>
      </c>
      <c r="C7" s="20">
        <v>0.0</v>
      </c>
      <c r="D7" s="27">
        <f>C7*D5</f>
        <v>0</v>
      </c>
      <c r="F7" s="28" t="s">
        <v>18</v>
      </c>
      <c r="G7" s="23">
        <f t="shared" si="1"/>
        <v>0</v>
      </c>
      <c r="H7" s="29">
        <v>0.05</v>
      </c>
      <c r="I7" s="30">
        <v>25.0</v>
      </c>
      <c r="J7" s="26">
        <f t="shared" si="7"/>
        <v>0</v>
      </c>
      <c r="K7" s="18"/>
      <c r="L7" s="18"/>
      <c r="M7" s="18" t="str">
        <f t="shared" si="2"/>
        <v/>
      </c>
      <c r="N7" s="18" t="str">
        <f t="shared" si="3"/>
        <v/>
      </c>
      <c r="O7" s="18" t="str">
        <f t="shared" si="4"/>
        <v/>
      </c>
      <c r="P7" s="18" t="str">
        <f t="shared" si="5"/>
        <v/>
      </c>
      <c r="Q7" s="18" t="str">
        <f t="shared" si="6"/>
        <v/>
      </c>
    </row>
    <row r="8" ht="15.75" customHeight="1">
      <c r="B8" s="10" t="s">
        <v>19</v>
      </c>
      <c r="C8" s="20">
        <v>0.0</v>
      </c>
      <c r="D8" s="27">
        <f>C8*D5</f>
        <v>0</v>
      </c>
      <c r="F8" s="12" t="s">
        <v>20</v>
      </c>
      <c r="G8" s="31">
        <f>G6+G5+G7</f>
        <v>2887500</v>
      </c>
      <c r="I8" s="15" t="s">
        <v>21</v>
      </c>
      <c r="J8" s="16">
        <f>J6+J5+J7</f>
        <v>19496.60678</v>
      </c>
      <c r="K8" s="6"/>
      <c r="L8" s="32" t="s">
        <v>22</v>
      </c>
      <c r="M8" s="19">
        <f t="shared" ref="M8:Q8" si="8">sum(M5:M7)</f>
        <v>-47675.49071</v>
      </c>
      <c r="N8" s="19">
        <f t="shared" si="8"/>
        <v>-50868.40662</v>
      </c>
      <c r="O8" s="19">
        <f t="shared" si="8"/>
        <v>-54275.15802</v>
      </c>
      <c r="P8" s="19">
        <f t="shared" si="8"/>
        <v>-57910.06587</v>
      </c>
      <c r="Q8" s="19">
        <f t="shared" si="8"/>
        <v>-61788.41023</v>
      </c>
    </row>
    <row r="9" ht="15.75" customHeight="1">
      <c r="B9" s="10" t="s">
        <v>23</v>
      </c>
      <c r="C9" s="10"/>
      <c r="D9" s="27">
        <f>D8+D7+D6</f>
        <v>2887500</v>
      </c>
      <c r="I9" s="15" t="s">
        <v>24</v>
      </c>
      <c r="J9" s="16">
        <f>J8*12</f>
        <v>233959.2814</v>
      </c>
      <c r="K9" s="6"/>
      <c r="L9" s="33" t="s">
        <v>25</v>
      </c>
      <c r="M9" s="34">
        <f>G8+M8</f>
        <v>2839824.509</v>
      </c>
      <c r="N9" s="35">
        <f t="shared" ref="N9:Q9" si="9">N8+M9</f>
        <v>2788956.103</v>
      </c>
      <c r="O9" s="35">
        <f t="shared" si="9"/>
        <v>2734680.945</v>
      </c>
      <c r="P9" s="35">
        <f t="shared" si="9"/>
        <v>2676770.879</v>
      </c>
      <c r="Q9" s="35">
        <f t="shared" si="9"/>
        <v>2614982.469</v>
      </c>
    </row>
    <row r="10" ht="15.75" customHeight="1">
      <c r="B10" s="10" t="s">
        <v>26</v>
      </c>
      <c r="C10" s="10"/>
      <c r="D10" s="27">
        <f>D5-D6-D7-D8</f>
        <v>962500</v>
      </c>
      <c r="L10" s="36"/>
    </row>
    <row r="11" ht="15.75" customHeight="1">
      <c r="B11" s="10" t="s">
        <v>27</v>
      </c>
      <c r="C11" s="37">
        <v>0.03</v>
      </c>
      <c r="D11" s="27">
        <f>D5*C11</f>
        <v>115500</v>
      </c>
      <c r="F11" s="12"/>
      <c r="G11" s="38">
        <f>Proforma!H49</f>
        <v>0.08819807027</v>
      </c>
      <c r="I11" s="15"/>
      <c r="J11" s="16">
        <f>J5-16443.62</f>
        <v>3052.986784</v>
      </c>
    </row>
    <row r="12" ht="15.75" customHeight="1">
      <c r="B12" s="10" t="s">
        <v>28</v>
      </c>
      <c r="C12" s="10"/>
      <c r="D12" s="27">
        <f>D23</f>
        <v>264687.5</v>
      </c>
      <c r="F12" s="12"/>
      <c r="G12" s="31"/>
      <c r="I12" s="15"/>
      <c r="J12" s="16"/>
    </row>
    <row r="13" ht="15.75" customHeight="1">
      <c r="B13" s="10" t="s">
        <v>29</v>
      </c>
      <c r="C13" s="10"/>
      <c r="D13" s="27">
        <f>D12+D11+D10</f>
        <v>1342687.5</v>
      </c>
      <c r="F13" s="12"/>
      <c r="G13" s="31"/>
      <c r="I13" s="15"/>
      <c r="J13" s="39">
        <v>23588.76</v>
      </c>
      <c r="M13" s="28">
        <f t="shared" ref="M13:Q13" si="10">M8/$G$20</f>
        <v>-0.03550751065</v>
      </c>
      <c r="N13" s="28">
        <f t="shared" si="10"/>
        <v>-0.0378855144</v>
      </c>
      <c r="O13" s="28">
        <f t="shared" si="10"/>
        <v>-0.04042277747</v>
      </c>
      <c r="P13" s="28">
        <f t="shared" si="10"/>
        <v>-0.04312996574</v>
      </c>
      <c r="Q13" s="28">
        <f t="shared" si="10"/>
        <v>-0.04601845942</v>
      </c>
    </row>
    <row r="14" ht="15.75" customHeight="1">
      <c r="B14" s="10" t="s">
        <v>30</v>
      </c>
      <c r="C14" s="10"/>
      <c r="D14" s="27">
        <f>D13+D9</f>
        <v>4230187.5</v>
      </c>
      <c r="J14" s="28">
        <f>J13*12</f>
        <v>283065.12</v>
      </c>
    </row>
    <row r="15" ht="15.75" customHeight="1"/>
    <row r="16" ht="15.75" customHeight="1">
      <c r="B16" s="2" t="s">
        <v>28</v>
      </c>
      <c r="C16" s="3"/>
      <c r="D16" s="4"/>
      <c r="F16" s="2" t="s">
        <v>0</v>
      </c>
      <c r="G16" s="4"/>
    </row>
    <row r="17" ht="15.75" customHeight="1">
      <c r="B17" s="15" t="s">
        <v>31</v>
      </c>
      <c r="C17" s="40">
        <v>0.015</v>
      </c>
      <c r="D17" s="31">
        <f>C17*D9</f>
        <v>43312.5</v>
      </c>
      <c r="F17" s="15" t="s">
        <v>32</v>
      </c>
      <c r="G17" s="31">
        <f>D10</f>
        <v>962500</v>
      </c>
    </row>
    <row r="18" ht="15.75" customHeight="1">
      <c r="B18" s="15" t="s">
        <v>33</v>
      </c>
      <c r="C18" s="40">
        <v>0.01</v>
      </c>
      <c r="D18" s="31">
        <f>C18*D9</f>
        <v>28875</v>
      </c>
      <c r="F18" s="15" t="s">
        <v>28</v>
      </c>
      <c r="G18" s="31">
        <f>D23</f>
        <v>264687.5</v>
      </c>
    </row>
    <row r="19" ht="15.75" customHeight="1">
      <c r="B19" s="15" t="s">
        <v>34</v>
      </c>
      <c r="C19" s="37">
        <v>0.03</v>
      </c>
      <c r="D19" s="31">
        <f>C19*D5</f>
        <v>115500</v>
      </c>
      <c r="F19" s="15" t="s">
        <v>27</v>
      </c>
      <c r="G19" s="31">
        <f>D11</f>
        <v>115500</v>
      </c>
    </row>
    <row r="20" ht="15.75" customHeight="1">
      <c r="B20" s="15" t="s">
        <v>35</v>
      </c>
      <c r="C20" s="40">
        <v>0.01</v>
      </c>
      <c r="D20" s="31">
        <f>C20*D5</f>
        <v>38500</v>
      </c>
      <c r="F20" s="41" t="s">
        <v>36</v>
      </c>
      <c r="G20" s="42">
        <f>SUM(G17:G19)</f>
        <v>1342687.5</v>
      </c>
    </row>
    <row r="21">
      <c r="B21" s="15" t="s">
        <v>37</v>
      </c>
      <c r="C21" s="40">
        <v>0.01</v>
      </c>
      <c r="D21" s="31">
        <f>C21*D5</f>
        <v>38500</v>
      </c>
      <c r="G21" s="31"/>
    </row>
    <row r="22" ht="1.5" customHeight="1">
      <c r="B22" s="15"/>
      <c r="C22" s="15"/>
      <c r="D22" s="31"/>
      <c r="G22" s="31"/>
    </row>
    <row r="23" ht="15.75" customHeight="1">
      <c r="B23" s="41" t="s">
        <v>36</v>
      </c>
      <c r="C23" s="41"/>
      <c r="D23" s="42">
        <f>SUM(D17:D22)</f>
        <v>264687.5</v>
      </c>
    </row>
    <row r="24" ht="15.75" customHeight="1">
      <c r="F24" s="59" t="s">
        <v>86</v>
      </c>
      <c r="G24" s="3"/>
      <c r="H24" s="33"/>
    </row>
    <row r="25" ht="15.75" customHeight="1">
      <c r="F25" s="33" t="s">
        <v>87</v>
      </c>
      <c r="G25" s="60">
        <f>'Sources and Uses Existing'!G27</f>
        <v>500000</v>
      </c>
      <c r="H25" s="33" t="s">
        <v>88</v>
      </c>
    </row>
    <row r="26" ht="15.75" customHeight="1">
      <c r="F26" s="33" t="s">
        <v>89</v>
      </c>
      <c r="G26" s="34">
        <v>3000000.0</v>
      </c>
      <c r="H26" s="33"/>
    </row>
    <row r="27" ht="15.75" customHeight="1">
      <c r="F27" s="6" t="s">
        <v>90</v>
      </c>
      <c r="G27" s="34">
        <f>(G26+G25)*0.1</f>
        <v>350000</v>
      </c>
      <c r="H27" s="33"/>
    </row>
    <row r="28" ht="15.75" customHeight="1">
      <c r="F28" s="61" t="s">
        <v>36</v>
      </c>
      <c r="G28" s="62">
        <f>SUM(G25:G27)</f>
        <v>3850000</v>
      </c>
      <c r="H28" s="33"/>
    </row>
    <row r="29" ht="15.75" customHeight="1">
      <c r="F29" s="32" t="s">
        <v>91</v>
      </c>
      <c r="G29" s="63">
        <v>11200.0</v>
      </c>
      <c r="H29" s="33"/>
    </row>
    <row r="30" ht="15.75" customHeight="1"/>
    <row r="31" ht="15.75" customHeight="1"/>
    <row r="32" ht="15.75" customHeight="1"/>
    <row r="33" ht="15.75" customHeight="1">
      <c r="F33" s="64" t="s">
        <v>92</v>
      </c>
    </row>
    <row r="34" ht="15.75" customHeight="1">
      <c r="F34" s="64" t="s">
        <v>93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D4"/>
    <mergeCell ref="B16:D16"/>
    <mergeCell ref="F16:G16"/>
    <mergeCell ref="F24:G24"/>
  </mergeCells>
  <hyperlinks>
    <hyperlink r:id="rId1" ref="F33"/>
    <hyperlink r:id="rId2" ref="F34"/>
  </hyperlinks>
  <printOptions/>
  <pageMargins bottom="0.0" footer="0.0" header="0.0" left="0.0" right="0.0" top="0.0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hidden="1" min="4" max="4" width="12.5"/>
    <col customWidth="1" min="5" max="6" width="12.5"/>
    <col customWidth="1" hidden="1" min="7" max="7" width="12.5"/>
    <col customWidth="1" min="8" max="8" width="14.88"/>
    <col customWidth="1" min="9" max="13" width="12.25"/>
    <col customWidth="1" min="14" max="14" width="12.5"/>
    <col customWidth="1" min="15" max="15" width="34.13"/>
    <col customWidth="1" min="16" max="26" width="12.5"/>
  </cols>
  <sheetData>
    <row r="1" ht="9.75" customHeight="1"/>
    <row r="2" ht="15.75" customHeight="1">
      <c r="C2" s="1" t="s">
        <v>94</v>
      </c>
      <c r="D2" s="65"/>
      <c r="E2" s="65"/>
      <c r="F2" s="65"/>
      <c r="G2" s="65"/>
      <c r="H2" s="65"/>
      <c r="I2" s="65"/>
      <c r="J2" s="65"/>
      <c r="K2" s="65"/>
      <c r="L2" s="65"/>
      <c r="M2" s="65"/>
      <c r="O2" s="43" t="s">
        <v>95</v>
      </c>
    </row>
    <row r="3" ht="15.75" customHeight="1">
      <c r="C3" s="66"/>
    </row>
    <row r="4" ht="15.75" customHeight="1">
      <c r="C4" s="67" t="s">
        <v>96</v>
      </c>
      <c r="D4" s="68">
        <v>2022.0</v>
      </c>
      <c r="E4" s="68">
        <v>2023.0</v>
      </c>
      <c r="F4" s="68">
        <v>2024.0</v>
      </c>
      <c r="G4" s="69" t="s">
        <v>97</v>
      </c>
      <c r="H4" s="69">
        <v>2025.0</v>
      </c>
      <c r="I4" s="68" t="s">
        <v>98</v>
      </c>
      <c r="J4" s="68" t="s">
        <v>99</v>
      </c>
      <c r="K4" s="68" t="s">
        <v>100</v>
      </c>
      <c r="L4" s="68" t="s">
        <v>101</v>
      </c>
      <c r="M4" s="68" t="s">
        <v>102</v>
      </c>
    </row>
    <row r="5" ht="15.75" customHeight="1">
      <c r="C5" s="70" t="s">
        <v>103</v>
      </c>
      <c r="D5" s="71"/>
      <c r="E5" s="72">
        <v>1580473.28</v>
      </c>
      <c r="F5" s="72">
        <v>1531957.68</v>
      </c>
      <c r="G5" s="73">
        <v>1231955.29</v>
      </c>
      <c r="H5" s="74">
        <v>1654595.04</v>
      </c>
      <c r="I5" s="75">
        <v>1800000.0</v>
      </c>
      <c r="J5" s="71">
        <f t="shared" ref="J5:M5" si="1">I5*1.03</f>
        <v>1854000</v>
      </c>
      <c r="K5" s="71">
        <f t="shared" si="1"/>
        <v>1909620</v>
      </c>
      <c r="L5" s="71">
        <f t="shared" si="1"/>
        <v>1966908.6</v>
      </c>
      <c r="M5" s="71">
        <f t="shared" si="1"/>
        <v>2025915.858</v>
      </c>
    </row>
    <row r="6" ht="15.75" customHeight="1">
      <c r="C6" s="70" t="s">
        <v>104</v>
      </c>
      <c r="D6" s="71"/>
      <c r="E6" s="76">
        <v>-65170.79</v>
      </c>
      <c r="F6" s="76">
        <v>-79288.36</v>
      </c>
      <c r="G6" s="76">
        <v>-58302.16</v>
      </c>
      <c r="H6" s="77">
        <v>-63526.84</v>
      </c>
      <c r="I6" s="76">
        <f>-I5*0.1</f>
        <v>-180000</v>
      </c>
      <c r="J6" s="76">
        <f t="shared" ref="J6:M6" si="2">I6*1.03</f>
        <v>-185400</v>
      </c>
      <c r="K6" s="76">
        <f t="shared" si="2"/>
        <v>-190962</v>
      </c>
      <c r="L6" s="76">
        <f t="shared" si="2"/>
        <v>-196690.86</v>
      </c>
      <c r="M6" s="76">
        <f t="shared" si="2"/>
        <v>-202591.5858</v>
      </c>
    </row>
    <row r="7" ht="15.75" customHeight="1">
      <c r="A7" s="78"/>
      <c r="B7" s="78"/>
      <c r="C7" s="79" t="s">
        <v>105</v>
      </c>
      <c r="D7" s="80"/>
      <c r="E7" s="81"/>
      <c r="F7" s="81"/>
      <c r="G7" s="81"/>
      <c r="H7" s="82"/>
      <c r="I7" s="80"/>
      <c r="J7" s="80">
        <f t="shared" ref="J7:M7" si="3">I7*1.03</f>
        <v>0</v>
      </c>
      <c r="K7" s="80">
        <f t="shared" si="3"/>
        <v>0</v>
      </c>
      <c r="L7" s="80">
        <f t="shared" si="3"/>
        <v>0</v>
      </c>
      <c r="M7" s="80">
        <f t="shared" si="3"/>
        <v>0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A8" s="78"/>
      <c r="B8" s="78"/>
      <c r="C8" s="83" t="s">
        <v>106</v>
      </c>
      <c r="D8" s="84"/>
      <c r="E8" s="85"/>
      <c r="F8" s="85"/>
      <c r="G8" s="85"/>
      <c r="H8" s="82"/>
      <c r="I8" s="86">
        <v>2500.0</v>
      </c>
      <c r="J8" s="84">
        <f t="shared" ref="J8:M8" si="4">I8*1.03</f>
        <v>2575</v>
      </c>
      <c r="K8" s="84">
        <f t="shared" si="4"/>
        <v>2652.25</v>
      </c>
      <c r="L8" s="84">
        <f t="shared" si="4"/>
        <v>2731.8175</v>
      </c>
      <c r="M8" s="84">
        <f t="shared" si="4"/>
        <v>2813.772025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5.75" customHeight="1">
      <c r="A9" s="78"/>
      <c r="B9" s="78"/>
      <c r="C9" s="83" t="s">
        <v>107</v>
      </c>
      <c r="D9" s="84"/>
      <c r="E9" s="87">
        <v>47.89</v>
      </c>
      <c r="F9" s="87">
        <v>1551.04</v>
      </c>
      <c r="G9" s="85"/>
      <c r="H9" s="82"/>
      <c r="I9" s="86">
        <v>2500.0</v>
      </c>
      <c r="J9" s="84">
        <f t="shared" ref="J9:M9" si="5">I9*1.03</f>
        <v>2575</v>
      </c>
      <c r="K9" s="84">
        <f t="shared" si="5"/>
        <v>2652.25</v>
      </c>
      <c r="L9" s="84">
        <f t="shared" si="5"/>
        <v>2731.8175</v>
      </c>
      <c r="M9" s="84">
        <f t="shared" si="5"/>
        <v>2813.772025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83" t="s">
        <v>108</v>
      </c>
      <c r="D10" s="88"/>
      <c r="E10" s="89"/>
      <c r="F10" s="89"/>
      <c r="G10" s="87"/>
      <c r="H10" s="82"/>
      <c r="I10" s="86"/>
      <c r="J10" s="84">
        <f t="shared" ref="J10:M10" si="6">I10*1.03</f>
        <v>0</v>
      </c>
      <c r="K10" s="84">
        <f t="shared" si="6"/>
        <v>0</v>
      </c>
      <c r="L10" s="84">
        <f t="shared" si="6"/>
        <v>0</v>
      </c>
      <c r="M10" s="84">
        <f t="shared" si="6"/>
        <v>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83" t="s">
        <v>109</v>
      </c>
      <c r="D11" s="84"/>
      <c r="E11" s="85"/>
      <c r="F11" s="85"/>
      <c r="G11" s="85"/>
      <c r="H11" s="82"/>
      <c r="I11" s="86">
        <v>2500.0</v>
      </c>
      <c r="J11" s="84">
        <f t="shared" ref="J11:M11" si="7">I11*1.03</f>
        <v>2575</v>
      </c>
      <c r="K11" s="84">
        <f t="shared" si="7"/>
        <v>2652.25</v>
      </c>
      <c r="L11" s="84">
        <f t="shared" si="7"/>
        <v>2731.8175</v>
      </c>
      <c r="M11" s="84">
        <f t="shared" si="7"/>
        <v>2813.772025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79" t="s">
        <v>110</v>
      </c>
      <c r="D12" s="90">
        <f>SUM(D8:D11)</f>
        <v>0</v>
      </c>
      <c r="E12" s="81">
        <f t="shared" ref="E12:I12" si="8">SUM(E5:E11)</f>
        <v>1515350.38</v>
      </c>
      <c r="F12" s="81">
        <f t="shared" si="8"/>
        <v>1454220.36</v>
      </c>
      <c r="G12" s="81">
        <f t="shared" si="8"/>
        <v>1173653.13</v>
      </c>
      <c r="H12" s="91">
        <f t="shared" si="8"/>
        <v>1591068.2</v>
      </c>
      <c r="I12" s="92">
        <f t="shared" si="8"/>
        <v>1627500</v>
      </c>
      <c r="J12" s="92">
        <f t="shared" ref="J12:M12" si="9">I12*1.03</f>
        <v>1676325</v>
      </c>
      <c r="K12" s="92">
        <f t="shared" si="9"/>
        <v>1726614.75</v>
      </c>
      <c r="L12" s="92">
        <f t="shared" si="9"/>
        <v>1778413.193</v>
      </c>
      <c r="M12" s="92">
        <f t="shared" si="9"/>
        <v>1831765.588</v>
      </c>
      <c r="N12" s="78"/>
      <c r="O12" s="93">
        <f>I12*0.05</f>
        <v>81375</v>
      </c>
      <c r="P12" s="78">
        <f>55*4000</f>
        <v>220000</v>
      </c>
      <c r="Q12" s="78">
        <f>P12*12</f>
        <v>2640000</v>
      </c>
      <c r="R12" s="78">
        <f>Q12*0.95</f>
        <v>2508000</v>
      </c>
      <c r="S12" s="78">
        <f>R12*0.05</f>
        <v>125400</v>
      </c>
      <c r="T12" s="78"/>
      <c r="U12" s="78"/>
      <c r="V12" s="78"/>
      <c r="W12" s="78"/>
      <c r="X12" s="78"/>
      <c r="Y12" s="78"/>
      <c r="Z12" s="78"/>
    </row>
    <row r="13" ht="15.75" customHeight="1">
      <c r="A13" s="78"/>
      <c r="B13" s="78"/>
      <c r="C13" s="94"/>
      <c r="D13" s="84"/>
      <c r="E13" s="84"/>
      <c r="F13" s="84"/>
      <c r="G13" s="85"/>
      <c r="H13" s="95"/>
      <c r="I13" s="84"/>
      <c r="J13" s="84">
        <f t="shared" ref="J13:M13" si="10">I13*1.03</f>
        <v>0</v>
      </c>
      <c r="K13" s="84">
        <f t="shared" si="10"/>
        <v>0</v>
      </c>
      <c r="L13" s="84">
        <f t="shared" si="10"/>
        <v>0</v>
      </c>
      <c r="M13" s="84">
        <f t="shared" si="10"/>
        <v>0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78"/>
      <c r="B14" s="78"/>
      <c r="C14" s="79" t="s">
        <v>111</v>
      </c>
      <c r="D14" s="80"/>
      <c r="E14" s="80"/>
      <c r="F14" s="80"/>
      <c r="G14" s="81"/>
      <c r="H14" s="96"/>
      <c r="I14" s="80"/>
      <c r="J14" s="80">
        <f t="shared" ref="J14:M14" si="11">I14*1.03</f>
        <v>0</v>
      </c>
      <c r="K14" s="80">
        <f t="shared" si="11"/>
        <v>0</v>
      </c>
      <c r="L14" s="80">
        <f t="shared" si="11"/>
        <v>0</v>
      </c>
      <c r="M14" s="80">
        <f t="shared" si="11"/>
        <v>0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78"/>
      <c r="B15" s="78"/>
      <c r="C15" s="97" t="s">
        <v>112</v>
      </c>
      <c r="D15" s="98"/>
      <c r="E15" s="99">
        <v>4746.7</v>
      </c>
      <c r="F15" s="99">
        <v>4979.45</v>
      </c>
      <c r="G15" s="87">
        <f>4629.45+2500</f>
        <v>7129.45</v>
      </c>
      <c r="H15" s="100">
        <v>9825.95</v>
      </c>
      <c r="I15" s="86">
        <v>7000.0</v>
      </c>
      <c r="J15" s="84">
        <f t="shared" ref="J15:M15" si="12">I15*1.03</f>
        <v>7210</v>
      </c>
      <c r="K15" s="84">
        <f t="shared" si="12"/>
        <v>7426.3</v>
      </c>
      <c r="L15" s="84">
        <f t="shared" si="12"/>
        <v>7649.089</v>
      </c>
      <c r="M15" s="84">
        <f t="shared" si="12"/>
        <v>7878.56167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78"/>
      <c r="B16" s="78"/>
      <c r="C16" s="97" t="s">
        <v>113</v>
      </c>
      <c r="D16" s="101"/>
      <c r="E16" s="99">
        <f>3400+450</f>
        <v>3850</v>
      </c>
      <c r="F16" s="99">
        <v>4991.71</v>
      </c>
      <c r="G16" s="87">
        <v>1685.85</v>
      </c>
      <c r="H16" s="100">
        <v>2865.85</v>
      </c>
      <c r="I16" s="86">
        <v>3500.0</v>
      </c>
      <c r="J16" s="84">
        <f t="shared" ref="J16:M16" si="13">I16*1.03</f>
        <v>3605</v>
      </c>
      <c r="K16" s="84">
        <f t="shared" si="13"/>
        <v>3713.15</v>
      </c>
      <c r="L16" s="84">
        <f t="shared" si="13"/>
        <v>3824.5445</v>
      </c>
      <c r="M16" s="84">
        <f t="shared" si="13"/>
        <v>3939.280835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78"/>
      <c r="B17" s="78"/>
      <c r="C17" s="97" t="s">
        <v>114</v>
      </c>
      <c r="D17" s="101"/>
      <c r="E17" s="99">
        <v>378.13</v>
      </c>
      <c r="F17" s="102">
        <f>138.92+115.22</f>
        <v>254.14</v>
      </c>
      <c r="G17" s="87">
        <v>93.95</v>
      </c>
      <c r="H17" s="100">
        <v>205.76</v>
      </c>
      <c r="I17" s="86">
        <v>250.0</v>
      </c>
      <c r="J17" s="84">
        <f t="shared" ref="J17:M17" si="14">I17*1.03</f>
        <v>257.5</v>
      </c>
      <c r="K17" s="84">
        <f t="shared" si="14"/>
        <v>265.225</v>
      </c>
      <c r="L17" s="84">
        <f t="shared" si="14"/>
        <v>273.18175</v>
      </c>
      <c r="M17" s="84">
        <f t="shared" si="14"/>
        <v>281.3772025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78"/>
      <c r="B18" s="78"/>
      <c r="C18" s="97" t="s">
        <v>115</v>
      </c>
      <c r="D18" s="101"/>
      <c r="E18" s="99">
        <v>2820.0</v>
      </c>
      <c r="F18" s="99">
        <v>2820.0</v>
      </c>
      <c r="G18" s="87">
        <v>2770.0</v>
      </c>
      <c r="H18" s="100">
        <v>2835.0</v>
      </c>
      <c r="I18" s="86">
        <v>2820.0</v>
      </c>
      <c r="J18" s="84">
        <f t="shared" ref="J18:M18" si="15">I18*1.03</f>
        <v>2904.6</v>
      </c>
      <c r="K18" s="84">
        <f t="shared" si="15"/>
        <v>2991.738</v>
      </c>
      <c r="L18" s="84">
        <f t="shared" si="15"/>
        <v>3081.49014</v>
      </c>
      <c r="M18" s="84">
        <f t="shared" si="15"/>
        <v>3173.934844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78"/>
      <c r="B19" s="78"/>
      <c r="C19" s="97" t="s">
        <v>116</v>
      </c>
      <c r="D19" s="101"/>
      <c r="E19" s="99">
        <v>22787.88</v>
      </c>
      <c r="F19" s="99">
        <v>264.0</v>
      </c>
      <c r="G19" s="87">
        <v>0.0</v>
      </c>
      <c r="H19" s="103">
        <v>0.0</v>
      </c>
      <c r="I19" s="86">
        <v>20000.0</v>
      </c>
      <c r="J19" s="84">
        <f t="shared" ref="J19:M19" si="16">I19*1.03</f>
        <v>20600</v>
      </c>
      <c r="K19" s="84">
        <f t="shared" si="16"/>
        <v>21218</v>
      </c>
      <c r="L19" s="84">
        <f t="shared" si="16"/>
        <v>21854.54</v>
      </c>
      <c r="M19" s="84">
        <f t="shared" si="16"/>
        <v>22510.1762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78"/>
      <c r="B20" s="78"/>
      <c r="C20" s="97" t="s">
        <v>117</v>
      </c>
      <c r="D20" s="84"/>
      <c r="E20" s="104"/>
      <c r="F20" s="104"/>
      <c r="G20" s="85"/>
      <c r="H20" s="105"/>
      <c r="I20" s="84"/>
      <c r="J20" s="84">
        <f t="shared" ref="J20:M20" si="17">I20*1.03</f>
        <v>0</v>
      </c>
      <c r="K20" s="84">
        <f t="shared" si="17"/>
        <v>0</v>
      </c>
      <c r="L20" s="84">
        <f t="shared" si="17"/>
        <v>0</v>
      </c>
      <c r="M20" s="84">
        <f t="shared" si="17"/>
        <v>0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78"/>
      <c r="C21" s="97" t="s">
        <v>118</v>
      </c>
      <c r="D21" s="101"/>
      <c r="E21" s="99">
        <v>2211.26</v>
      </c>
      <c r="F21" s="99">
        <v>1460.6</v>
      </c>
      <c r="G21" s="87">
        <v>691.81</v>
      </c>
      <c r="H21" s="100">
        <v>1105.93</v>
      </c>
      <c r="I21" s="86">
        <v>1500.0</v>
      </c>
      <c r="J21" s="84">
        <f t="shared" ref="J21:M21" si="18">I21*1.03</f>
        <v>1545</v>
      </c>
      <c r="K21" s="84">
        <f t="shared" si="18"/>
        <v>1591.35</v>
      </c>
      <c r="L21" s="84">
        <f t="shared" si="18"/>
        <v>1639.0905</v>
      </c>
      <c r="M21" s="84">
        <f t="shared" si="18"/>
        <v>1688.263215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78"/>
      <c r="C22" s="97" t="s">
        <v>119</v>
      </c>
      <c r="D22" s="106"/>
      <c r="E22" s="104"/>
      <c r="F22" s="100"/>
      <c r="G22" s="85"/>
      <c r="H22" s="105"/>
      <c r="I22" s="84"/>
      <c r="J22" s="84">
        <f t="shared" ref="J22:M22" si="19">I22*1.03</f>
        <v>0</v>
      </c>
      <c r="K22" s="84">
        <f t="shared" si="19"/>
        <v>0</v>
      </c>
      <c r="L22" s="84">
        <f t="shared" si="19"/>
        <v>0</v>
      </c>
      <c r="M22" s="84">
        <f t="shared" si="19"/>
        <v>0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97" t="s">
        <v>120</v>
      </c>
      <c r="D23" s="84"/>
      <c r="E23" s="104">
        <f>899487.13+4412.55+460.29+3428.39</f>
        <v>907788.36</v>
      </c>
      <c r="F23" s="100">
        <f>842457.45+4307.25+848.85+4377</f>
        <v>851990.55</v>
      </c>
      <c r="G23" s="87">
        <f>683765.18+3287.94</f>
        <v>687053.12</v>
      </c>
      <c r="H23" s="100">
        <f>888880.02+1127.83+616.8+4334.1</f>
        <v>894958.75</v>
      </c>
      <c r="I23" s="107">
        <v>700000.0</v>
      </c>
      <c r="J23" s="84">
        <f t="shared" ref="J23:M23" si="20">I23*1.03</f>
        <v>721000</v>
      </c>
      <c r="K23" s="84">
        <f t="shared" si="20"/>
        <v>742630</v>
      </c>
      <c r="L23" s="84">
        <f t="shared" si="20"/>
        <v>764908.9</v>
      </c>
      <c r="M23" s="84">
        <f t="shared" si="20"/>
        <v>787856.167</v>
      </c>
      <c r="N23" s="78"/>
      <c r="O23" s="108">
        <f>H23-I23</f>
        <v>194958.75</v>
      </c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109" t="s">
        <v>121</v>
      </c>
      <c r="D24" s="84"/>
      <c r="E24" s="100">
        <v>27500.5</v>
      </c>
      <c r="F24" s="100">
        <v>38520.78</v>
      </c>
      <c r="G24" s="85"/>
      <c r="H24" s="100">
        <v>66922.1</v>
      </c>
      <c r="I24" s="84">
        <f t="shared" ref="I24:J24" si="21">I12*0.05</f>
        <v>81375</v>
      </c>
      <c r="J24" s="84">
        <f t="shared" si="21"/>
        <v>83816.25</v>
      </c>
      <c r="K24" s="84">
        <f t="shared" ref="K24:M24" si="22">J24*1.03</f>
        <v>86330.7375</v>
      </c>
      <c r="L24" s="84">
        <f t="shared" si="22"/>
        <v>88920.65963</v>
      </c>
      <c r="M24" s="84">
        <f t="shared" si="22"/>
        <v>91588.27941</v>
      </c>
      <c r="N24" s="78"/>
      <c r="O24" s="78"/>
      <c r="P24" s="78"/>
      <c r="Q24" s="78"/>
      <c r="R24" s="78"/>
      <c r="S24" s="78"/>
      <c r="T24" s="110">
        <f>10*50000</f>
        <v>500000</v>
      </c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97" t="s">
        <v>122</v>
      </c>
      <c r="D25" s="84"/>
      <c r="E25" s="104"/>
      <c r="F25" s="104"/>
      <c r="G25" s="85"/>
      <c r="H25" s="105"/>
      <c r="I25" s="84"/>
      <c r="J25" s="84">
        <f t="shared" ref="J25:M25" si="23">I25*1.03</f>
        <v>0</v>
      </c>
      <c r="K25" s="84">
        <f t="shared" si="23"/>
        <v>0</v>
      </c>
      <c r="L25" s="84">
        <f t="shared" si="23"/>
        <v>0</v>
      </c>
      <c r="M25" s="84">
        <f t="shared" si="23"/>
        <v>0</v>
      </c>
      <c r="N25" s="78"/>
      <c r="O25" s="78"/>
      <c r="P25" s="78"/>
      <c r="Q25" s="78"/>
      <c r="R25" s="78"/>
      <c r="S25" s="78"/>
      <c r="T25" s="110">
        <f>125000*10</f>
        <v>1250000</v>
      </c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97" t="s">
        <v>123</v>
      </c>
      <c r="D26" s="101"/>
      <c r="E26" s="99">
        <v>27838.81</v>
      </c>
      <c r="F26" s="111">
        <v>26362.52</v>
      </c>
      <c r="G26" s="87">
        <v>20031.53</v>
      </c>
      <c r="H26" s="100">
        <v>25181.72</v>
      </c>
      <c r="I26" s="86">
        <v>27000.0</v>
      </c>
      <c r="J26" s="84">
        <f t="shared" ref="J26:M26" si="24">I26*1.03</f>
        <v>27810</v>
      </c>
      <c r="K26" s="84">
        <f t="shared" si="24"/>
        <v>28644.3</v>
      </c>
      <c r="L26" s="84">
        <f t="shared" si="24"/>
        <v>29503.629</v>
      </c>
      <c r="M26" s="84">
        <f t="shared" si="24"/>
        <v>30388.73787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97" t="s">
        <v>124</v>
      </c>
      <c r="D27" s="84"/>
      <c r="E27" s="104"/>
      <c r="F27" s="84"/>
      <c r="G27" s="85"/>
      <c r="H27" s="105"/>
      <c r="I27" s="84"/>
      <c r="J27" s="84">
        <f t="shared" ref="J27:M27" si="25">I27*1.03</f>
        <v>0</v>
      </c>
      <c r="K27" s="84">
        <f t="shared" si="25"/>
        <v>0</v>
      </c>
      <c r="L27" s="84">
        <f t="shared" si="25"/>
        <v>0</v>
      </c>
      <c r="M27" s="84">
        <f t="shared" si="25"/>
        <v>0</v>
      </c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97" t="s">
        <v>125</v>
      </c>
      <c r="D28" s="84"/>
      <c r="E28" s="104"/>
      <c r="F28" s="100">
        <v>1729.5</v>
      </c>
      <c r="G28" s="87">
        <v>480.0</v>
      </c>
      <c r="H28" s="100">
        <v>480.0</v>
      </c>
      <c r="I28" s="86">
        <v>1500.0</v>
      </c>
      <c r="J28" s="84">
        <f t="shared" ref="J28:M28" si="26">I28*1.03</f>
        <v>1545</v>
      </c>
      <c r="K28" s="84">
        <f t="shared" si="26"/>
        <v>1591.35</v>
      </c>
      <c r="L28" s="84">
        <f t="shared" si="26"/>
        <v>1639.0905</v>
      </c>
      <c r="M28" s="84">
        <f t="shared" si="26"/>
        <v>1688.263215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97" t="s">
        <v>126</v>
      </c>
      <c r="D29" s="101"/>
      <c r="E29" s="99">
        <v>24117.24</v>
      </c>
      <c r="F29" s="111">
        <v>22980.06</v>
      </c>
      <c r="G29" s="87">
        <v>15741.86</v>
      </c>
      <c r="H29" s="100">
        <v>26085.12</v>
      </c>
      <c r="I29" s="86">
        <v>25000.0</v>
      </c>
      <c r="J29" s="84">
        <f t="shared" ref="J29:M29" si="27">I29*1.03</f>
        <v>25750</v>
      </c>
      <c r="K29" s="84">
        <f t="shared" si="27"/>
        <v>26522.5</v>
      </c>
      <c r="L29" s="84">
        <f t="shared" si="27"/>
        <v>27318.175</v>
      </c>
      <c r="M29" s="84">
        <f t="shared" si="27"/>
        <v>28137.72025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15"/>
      <c r="B30" s="15"/>
      <c r="C30" s="97" t="s">
        <v>127</v>
      </c>
      <c r="D30" s="84"/>
      <c r="E30" s="100">
        <v>3680.76</v>
      </c>
      <c r="F30" s="86">
        <v>0.0</v>
      </c>
      <c r="G30" s="85"/>
      <c r="H30" s="105"/>
      <c r="I30" s="84"/>
      <c r="J30" s="84">
        <f t="shared" ref="J30:M30" si="28">I30*1.03</f>
        <v>0</v>
      </c>
      <c r="K30" s="84">
        <f t="shared" si="28"/>
        <v>0</v>
      </c>
      <c r="L30" s="84">
        <f t="shared" si="28"/>
        <v>0</v>
      </c>
      <c r="M30" s="84">
        <f t="shared" si="28"/>
        <v>0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78"/>
      <c r="B31" s="78"/>
      <c r="C31" s="97" t="s">
        <v>128</v>
      </c>
      <c r="D31" s="84"/>
      <c r="E31" s="104"/>
      <c r="F31" s="84"/>
      <c r="G31" s="85"/>
      <c r="H31" s="105"/>
      <c r="I31" s="84"/>
      <c r="J31" s="84">
        <f t="shared" ref="J31:M31" si="29">I31*1.03</f>
        <v>0</v>
      </c>
      <c r="K31" s="84">
        <f t="shared" si="29"/>
        <v>0</v>
      </c>
      <c r="L31" s="84">
        <f t="shared" si="29"/>
        <v>0</v>
      </c>
      <c r="M31" s="84">
        <f t="shared" si="29"/>
        <v>0</v>
      </c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97" t="s">
        <v>129</v>
      </c>
      <c r="D32" s="101"/>
      <c r="E32" s="112">
        <v>700.0</v>
      </c>
      <c r="F32" s="111">
        <v>2350.04</v>
      </c>
      <c r="G32" s="87">
        <v>1470.95</v>
      </c>
      <c r="H32" s="100">
        <v>1761.79</v>
      </c>
      <c r="I32" s="86">
        <v>2400.0</v>
      </c>
      <c r="J32" s="84">
        <f t="shared" ref="J32:M32" si="30">I32*1.03</f>
        <v>2472</v>
      </c>
      <c r="K32" s="84">
        <f t="shared" si="30"/>
        <v>2546.16</v>
      </c>
      <c r="L32" s="84">
        <f t="shared" si="30"/>
        <v>2622.5448</v>
      </c>
      <c r="M32" s="84">
        <f t="shared" si="30"/>
        <v>2701.221144</v>
      </c>
      <c r="N32" s="78"/>
      <c r="O32" s="113"/>
      <c r="P32" s="114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97" t="s">
        <v>130</v>
      </c>
      <c r="D33" s="101"/>
      <c r="E33" s="99">
        <v>8832.36</v>
      </c>
      <c r="F33" s="111">
        <v>12752.51</v>
      </c>
      <c r="G33" s="87">
        <v>12588.32</v>
      </c>
      <c r="H33" s="100">
        <v>17778.69</v>
      </c>
      <c r="I33" s="86">
        <v>15000.0</v>
      </c>
      <c r="J33" s="84">
        <f t="shared" ref="J33:M33" si="31">I33*1.03</f>
        <v>15450</v>
      </c>
      <c r="K33" s="84">
        <f t="shared" si="31"/>
        <v>15913.5</v>
      </c>
      <c r="L33" s="84">
        <f t="shared" si="31"/>
        <v>16390.905</v>
      </c>
      <c r="M33" s="84">
        <f t="shared" si="31"/>
        <v>16882.63215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97" t="s">
        <v>131</v>
      </c>
      <c r="D34" s="115"/>
      <c r="E34" s="102">
        <f>8014.19+819.43+1733.99+59.17+21.65+217.9</f>
        <v>10866.33</v>
      </c>
      <c r="F34" s="101">
        <f>5927.5+914.8+1303.92+72.24</f>
        <v>8218.46</v>
      </c>
      <c r="G34" s="87">
        <v>5629.31</v>
      </c>
      <c r="H34" s="104">
        <f>4093.68+46.35+721.84+1477.34+50.43</f>
        <v>6389.64</v>
      </c>
      <c r="I34" s="86">
        <v>5000.0</v>
      </c>
      <c r="J34" s="84">
        <f t="shared" ref="J34:M34" si="32">I34*1.03</f>
        <v>5150</v>
      </c>
      <c r="K34" s="84">
        <f t="shared" si="32"/>
        <v>5304.5</v>
      </c>
      <c r="L34" s="84">
        <f t="shared" si="32"/>
        <v>5463.635</v>
      </c>
      <c r="M34" s="84">
        <f t="shared" si="32"/>
        <v>5627.54405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97" t="s">
        <v>132</v>
      </c>
      <c r="D35" s="101"/>
      <c r="E35" s="102"/>
      <c r="F35" s="101"/>
      <c r="G35" s="87"/>
      <c r="H35" s="105"/>
      <c r="I35" s="84"/>
      <c r="J35" s="84">
        <f t="shared" ref="J35:M35" si="33">I35*1.03</f>
        <v>0</v>
      </c>
      <c r="K35" s="84">
        <f t="shared" si="33"/>
        <v>0</v>
      </c>
      <c r="L35" s="84">
        <f t="shared" si="33"/>
        <v>0</v>
      </c>
      <c r="M35" s="84">
        <f t="shared" si="33"/>
        <v>0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97" t="s">
        <v>133</v>
      </c>
      <c r="D36" s="84"/>
      <c r="E36" s="100">
        <v>37249.2</v>
      </c>
      <c r="F36" s="100">
        <v>12021.0</v>
      </c>
      <c r="G36" s="100">
        <v>9555.5</v>
      </c>
      <c r="H36" s="100">
        <v>8856.5</v>
      </c>
      <c r="I36" s="86">
        <v>15000.0</v>
      </c>
      <c r="J36" s="84">
        <f t="shared" ref="J36:M36" si="34">I36*1.03</f>
        <v>15450</v>
      </c>
      <c r="K36" s="84">
        <f t="shared" si="34"/>
        <v>15913.5</v>
      </c>
      <c r="L36" s="84">
        <f t="shared" si="34"/>
        <v>16390.905</v>
      </c>
      <c r="M36" s="84">
        <f t="shared" si="34"/>
        <v>16882.63215</v>
      </c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97" t="s">
        <v>134</v>
      </c>
      <c r="D37" s="101"/>
      <c r="E37" s="99">
        <f>84071.27+380.14</f>
        <v>84451.41</v>
      </c>
      <c r="F37" s="101">
        <f>324+72123.98+1275.57</f>
        <v>73723.55</v>
      </c>
      <c r="G37" s="87">
        <v>67579.16</v>
      </c>
      <c r="H37" s="104">
        <f>605.41+90342.91</f>
        <v>90948.32</v>
      </c>
      <c r="I37" s="86">
        <v>90000.0</v>
      </c>
      <c r="J37" s="84">
        <f t="shared" ref="J37:M37" si="35">I37*1.03</f>
        <v>92700</v>
      </c>
      <c r="K37" s="84">
        <f t="shared" si="35"/>
        <v>95481</v>
      </c>
      <c r="L37" s="84">
        <f t="shared" si="35"/>
        <v>98345.43</v>
      </c>
      <c r="M37" s="84">
        <f t="shared" si="35"/>
        <v>101295.7929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97" t="s">
        <v>135</v>
      </c>
      <c r="D38" s="98"/>
      <c r="E38" s="102">
        <f>20934.98</f>
        <v>20934.98</v>
      </c>
      <c r="F38" s="101">
        <f>251.21+28758.52</f>
        <v>29009.73</v>
      </c>
      <c r="G38" s="85">
        <f>98.93+47797.23</f>
        <v>47896.16</v>
      </c>
      <c r="H38" s="104">
        <f>98.93+60942.33</f>
        <v>61041.26</v>
      </c>
      <c r="I38" s="86">
        <v>35000.0</v>
      </c>
      <c r="J38" s="84">
        <f t="shared" ref="J38:M38" si="36">I38*1.03</f>
        <v>36050</v>
      </c>
      <c r="K38" s="84">
        <f t="shared" si="36"/>
        <v>37131.5</v>
      </c>
      <c r="L38" s="84">
        <f t="shared" si="36"/>
        <v>38245.445</v>
      </c>
      <c r="M38" s="84">
        <f t="shared" si="36"/>
        <v>39392.80835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97" t="s">
        <v>136</v>
      </c>
      <c r="D39" s="101"/>
      <c r="E39" s="99">
        <v>3015.83</v>
      </c>
      <c r="F39" s="111">
        <v>1252.89</v>
      </c>
      <c r="G39" s="87">
        <v>6301.37</v>
      </c>
      <c r="H39" s="100">
        <v>8153.3</v>
      </c>
      <c r="I39" s="86">
        <v>5000.0</v>
      </c>
      <c r="J39" s="84">
        <f t="shared" ref="J39:M39" si="37">I39*1.03</f>
        <v>5150</v>
      </c>
      <c r="K39" s="84">
        <f t="shared" si="37"/>
        <v>5304.5</v>
      </c>
      <c r="L39" s="84">
        <f t="shared" si="37"/>
        <v>5463.635</v>
      </c>
      <c r="M39" s="84">
        <f t="shared" si="37"/>
        <v>5627.54405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97" t="s">
        <v>137</v>
      </c>
      <c r="D40" s="101"/>
      <c r="E40" s="102"/>
      <c r="F40" s="102"/>
      <c r="G40" s="85"/>
      <c r="H40" s="105"/>
      <c r="I40" s="86"/>
      <c r="J40" s="84">
        <f t="shared" ref="J40:M40" si="38">I40*1.03</f>
        <v>0</v>
      </c>
      <c r="K40" s="84">
        <f t="shared" si="38"/>
        <v>0</v>
      </c>
      <c r="L40" s="84">
        <f t="shared" si="38"/>
        <v>0</v>
      </c>
      <c r="M40" s="84">
        <f t="shared" si="38"/>
        <v>0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97" t="s">
        <v>138</v>
      </c>
      <c r="D41" s="84"/>
      <c r="E41" s="104"/>
      <c r="F41" s="100"/>
      <c r="G41" s="85"/>
      <c r="H41" s="100"/>
      <c r="I41" s="86">
        <v>12000.0</v>
      </c>
      <c r="J41" s="84">
        <f t="shared" ref="J41:M41" si="39">I41*1.03</f>
        <v>12360</v>
      </c>
      <c r="K41" s="84">
        <f t="shared" si="39"/>
        <v>12730.8</v>
      </c>
      <c r="L41" s="84">
        <f t="shared" si="39"/>
        <v>13112.724</v>
      </c>
      <c r="M41" s="84">
        <f t="shared" si="39"/>
        <v>13506.10572</v>
      </c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97" t="s">
        <v>139</v>
      </c>
      <c r="D42" s="84"/>
      <c r="E42" s="104"/>
      <c r="F42" s="104"/>
      <c r="G42" s="85"/>
      <c r="H42" s="105"/>
      <c r="I42" s="84"/>
      <c r="J42" s="84">
        <f t="shared" ref="J42:M42" si="40">I42*1.03</f>
        <v>0</v>
      </c>
      <c r="K42" s="84">
        <f t="shared" si="40"/>
        <v>0</v>
      </c>
      <c r="L42" s="84">
        <f t="shared" si="40"/>
        <v>0</v>
      </c>
      <c r="M42" s="84">
        <f t="shared" si="40"/>
        <v>0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97" t="s">
        <v>140</v>
      </c>
      <c r="D43" s="84"/>
      <c r="E43" s="100">
        <v>19.4</v>
      </c>
      <c r="F43" s="104">
        <f>18.05</f>
        <v>18.05</v>
      </c>
      <c r="G43" s="87">
        <v>1111.9</v>
      </c>
      <c r="H43" s="103">
        <v>0.0</v>
      </c>
      <c r="I43" s="86">
        <v>0.0</v>
      </c>
      <c r="J43" s="84">
        <f t="shared" ref="J43:M43" si="41">I43*1.03</f>
        <v>0</v>
      </c>
      <c r="K43" s="84">
        <f t="shared" si="41"/>
        <v>0</v>
      </c>
      <c r="L43" s="84">
        <f t="shared" si="41"/>
        <v>0</v>
      </c>
      <c r="M43" s="84">
        <f t="shared" si="41"/>
        <v>0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97" t="s">
        <v>141</v>
      </c>
      <c r="D44" s="101"/>
      <c r="E44" s="99">
        <f>35829.25+5538.34</f>
        <v>41367.59</v>
      </c>
      <c r="F44" s="102">
        <f>38796.49+5995.76</f>
        <v>44792.25</v>
      </c>
      <c r="G44" s="87">
        <v>29045.36</v>
      </c>
      <c r="H44" s="104">
        <f>4093.68+33695.65</f>
        <v>37789.33</v>
      </c>
      <c r="I44" s="86">
        <v>45000.0</v>
      </c>
      <c r="J44" s="84">
        <f t="shared" ref="J44:M44" si="42">I44*1.03</f>
        <v>46350</v>
      </c>
      <c r="K44" s="84">
        <f t="shared" si="42"/>
        <v>47740.5</v>
      </c>
      <c r="L44" s="84">
        <f t="shared" si="42"/>
        <v>49172.715</v>
      </c>
      <c r="M44" s="84">
        <f t="shared" si="42"/>
        <v>50647.89645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97" t="s">
        <v>142</v>
      </c>
      <c r="D45" s="101"/>
      <c r="E45" s="99">
        <f>1488.36+51.08+153</f>
        <v>1692.44</v>
      </c>
      <c r="F45" s="99">
        <v>1622.39</v>
      </c>
      <c r="G45" s="87">
        <v>1116.27</v>
      </c>
      <c r="H45" s="104">
        <f>186+1364.33</f>
        <v>1550.33</v>
      </c>
      <c r="I45" s="86">
        <v>1500.0</v>
      </c>
      <c r="J45" s="84">
        <f t="shared" ref="J45:M45" si="43">I45*1.03</f>
        <v>1545</v>
      </c>
      <c r="K45" s="84">
        <f t="shared" si="43"/>
        <v>1591.35</v>
      </c>
      <c r="L45" s="84">
        <f t="shared" si="43"/>
        <v>1639.0905</v>
      </c>
      <c r="M45" s="84">
        <f t="shared" si="43"/>
        <v>1688.263215</v>
      </c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116" t="s">
        <v>143</v>
      </c>
      <c r="D46" s="117">
        <f t="shared" ref="D46:M46" si="44">SUM(D15:D45)</f>
        <v>0</v>
      </c>
      <c r="E46" s="118">
        <f t="shared" si="44"/>
        <v>1236849.18</v>
      </c>
      <c r="F46" s="117">
        <f t="shared" si="44"/>
        <v>1142114.18</v>
      </c>
      <c r="G46" s="119">
        <f t="shared" si="44"/>
        <v>917971.87</v>
      </c>
      <c r="H46" s="118">
        <f t="shared" si="44"/>
        <v>1264735.34</v>
      </c>
      <c r="I46" s="117">
        <f t="shared" si="44"/>
        <v>1095845</v>
      </c>
      <c r="J46" s="117">
        <f t="shared" si="44"/>
        <v>1128720.35</v>
      </c>
      <c r="K46" s="117">
        <f t="shared" si="44"/>
        <v>1162581.961</v>
      </c>
      <c r="L46" s="117">
        <f t="shared" si="44"/>
        <v>1197459.419</v>
      </c>
      <c r="M46" s="117">
        <f t="shared" si="44"/>
        <v>1233383.202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116" t="s">
        <v>144</v>
      </c>
      <c r="D47" s="117">
        <f t="shared" ref="D47:M47" si="45">D12-D46</f>
        <v>0</v>
      </c>
      <c r="E47" s="118">
        <f t="shared" si="45"/>
        <v>278501.2</v>
      </c>
      <c r="F47" s="117">
        <f t="shared" si="45"/>
        <v>312106.18</v>
      </c>
      <c r="G47" s="119">
        <f t="shared" si="45"/>
        <v>255681.26</v>
      </c>
      <c r="H47" s="118">
        <f t="shared" si="45"/>
        <v>326332.86</v>
      </c>
      <c r="I47" s="117">
        <f t="shared" si="45"/>
        <v>531655</v>
      </c>
      <c r="J47" s="117">
        <f t="shared" si="45"/>
        <v>547604.65</v>
      </c>
      <c r="K47" s="117">
        <f t="shared" si="45"/>
        <v>564032.7895</v>
      </c>
      <c r="L47" s="117">
        <f t="shared" si="45"/>
        <v>580953.7732</v>
      </c>
      <c r="M47" s="117">
        <f t="shared" si="45"/>
        <v>598382.3864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5.25" customHeight="1">
      <c r="C48" s="120"/>
      <c r="D48" s="84"/>
      <c r="E48" s="84"/>
      <c r="F48" s="84"/>
      <c r="G48" s="84"/>
      <c r="H48" s="95"/>
      <c r="I48" s="84"/>
      <c r="J48" s="84"/>
      <c r="K48" s="84"/>
      <c r="L48" s="84"/>
      <c r="M48" s="84"/>
    </row>
    <row r="49" ht="19.5" customHeight="1">
      <c r="C49" s="121" t="s">
        <v>145</v>
      </c>
      <c r="D49" s="122" t="str">
        <f>D47/'Deal Overview'!$C$5</f>
        <v>#REF!</v>
      </c>
      <c r="E49" s="122">
        <f>E47/'Sources and Uses Existing'!$D$5</f>
        <v>0.07527059459</v>
      </c>
      <c r="F49" s="122">
        <f>F47/'Sources and Uses Existing'!$D$5</f>
        <v>0.08435302162</v>
      </c>
      <c r="G49" s="122">
        <f>G47/'Sources and Uses Existing'!$D$5</f>
        <v>0.06910304324</v>
      </c>
      <c r="H49" s="122">
        <f>H47/'Sources and Uses Existing'!$D$5</f>
        <v>0.08819807027</v>
      </c>
      <c r="I49" s="122">
        <f>I47/'Sources and Uses Existing'!$D$5</f>
        <v>0.1436905405</v>
      </c>
      <c r="J49" s="122">
        <f>J47/'Sources and Uses Existing'!$D$5</f>
        <v>0.1480012568</v>
      </c>
      <c r="K49" s="122">
        <f>K47/'Sources and Uses Existing'!$D$5</f>
        <v>0.1524412945</v>
      </c>
      <c r="L49" s="122">
        <f>L47/'Sources and Uses Existing'!$D$5</f>
        <v>0.1570145333</v>
      </c>
      <c r="M49" s="122">
        <f>M47/'Sources and Uses Existing'!$D$5</f>
        <v>0.1617249693</v>
      </c>
    </row>
    <row r="50" ht="18.0" customHeight="1">
      <c r="A50" s="78"/>
      <c r="B50" s="78"/>
      <c r="C50" s="123" t="s">
        <v>146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8.0" customHeight="1">
      <c r="A51" s="78"/>
      <c r="B51" s="78"/>
      <c r="C51" s="124" t="s">
        <v>147</v>
      </c>
      <c r="D51" s="84"/>
      <c r="E51" s="84"/>
      <c r="F51" s="84"/>
      <c r="G51" s="84"/>
      <c r="H51" s="84"/>
      <c r="I51" s="125">
        <v>100000.0</v>
      </c>
      <c r="J51" s="126">
        <f t="shared" ref="J51:M51" si="46">I51</f>
        <v>100000</v>
      </c>
      <c r="K51" s="126">
        <f t="shared" si="46"/>
        <v>100000</v>
      </c>
      <c r="L51" s="126">
        <f t="shared" si="46"/>
        <v>100000</v>
      </c>
      <c r="M51" s="126">
        <f t="shared" si="46"/>
        <v>100000</v>
      </c>
      <c r="N51" s="78"/>
      <c r="O51" s="93">
        <f>I12-I46-I51-I53-I54</f>
        <v>334005</v>
      </c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C52" s="66" t="s">
        <v>148</v>
      </c>
      <c r="D52" s="127"/>
      <c r="E52" s="127"/>
      <c r="F52" s="128">
        <f>F47/I52</f>
        <v>1.388101089</v>
      </c>
      <c r="G52" s="127"/>
      <c r="H52" s="127"/>
      <c r="I52" s="129">
        <f>'Sources and Uses Existing'!J9</f>
        <v>224843.9847</v>
      </c>
      <c r="J52" s="130">
        <f t="shared" ref="J52:M52" si="47">I52</f>
        <v>224843.9847</v>
      </c>
      <c r="K52" s="130">
        <f t="shared" si="47"/>
        <v>224843.9847</v>
      </c>
      <c r="L52" s="130">
        <f t="shared" si="47"/>
        <v>224843.9847</v>
      </c>
      <c r="M52" s="131">
        <f t="shared" si="47"/>
        <v>224843.9847</v>
      </c>
      <c r="O52" s="132">
        <f>O51-I52</f>
        <v>109161.0153</v>
      </c>
      <c r="R52" s="45">
        <f>'Sources and Uses Existing'!D13</f>
        <v>1290375</v>
      </c>
    </row>
    <row r="53" ht="15.75" customHeight="1">
      <c r="C53" s="78" t="s">
        <v>149</v>
      </c>
      <c r="H53" s="133">
        <v>0.01</v>
      </c>
      <c r="I53" s="134">
        <f>H53*I12</f>
        <v>16275</v>
      </c>
      <c r="J53" s="108">
        <f t="shared" ref="J53:M53" si="48">J12*0.01</f>
        <v>16763.25</v>
      </c>
      <c r="K53" s="108">
        <f t="shared" si="48"/>
        <v>17266.1475</v>
      </c>
      <c r="L53" s="108">
        <f t="shared" si="48"/>
        <v>17784.13193</v>
      </c>
      <c r="M53" s="135">
        <f t="shared" si="48"/>
        <v>18317.65588</v>
      </c>
    </row>
    <row r="54" ht="15.75" customHeight="1">
      <c r="C54" s="78" t="s">
        <v>124</v>
      </c>
      <c r="H54" s="133">
        <v>0.05</v>
      </c>
      <c r="I54" s="134">
        <f t="shared" ref="I54:M54" si="49">$H$54*I12</f>
        <v>81375</v>
      </c>
      <c r="J54" s="108">
        <f t="shared" si="49"/>
        <v>83816.25</v>
      </c>
      <c r="K54" s="108">
        <f t="shared" si="49"/>
        <v>86330.7375</v>
      </c>
      <c r="L54" s="108">
        <f t="shared" si="49"/>
        <v>88920.65963</v>
      </c>
      <c r="M54" s="135">
        <f t="shared" si="49"/>
        <v>91588.27941</v>
      </c>
    </row>
    <row r="55" ht="15.75" customHeight="1">
      <c r="C55" s="78" t="s">
        <v>150</v>
      </c>
      <c r="I55" s="134">
        <f t="shared" ref="I55:M55" si="50">I47-I51-I52-I53-I54</f>
        <v>109161.0153</v>
      </c>
      <c r="J55" s="108">
        <f t="shared" si="50"/>
        <v>122181.1653</v>
      </c>
      <c r="K55" s="108">
        <f t="shared" si="50"/>
        <v>135591.9198</v>
      </c>
      <c r="L55" s="108">
        <f t="shared" si="50"/>
        <v>149404.9969</v>
      </c>
      <c r="M55" s="135">
        <f t="shared" si="50"/>
        <v>163632.4664</v>
      </c>
    </row>
    <row r="56" ht="15.75" customHeight="1">
      <c r="C56" s="78" t="s">
        <v>151</v>
      </c>
      <c r="D56" s="136" t="str">
        <f>D55/'Deal Overview'!$C$8</f>
        <v>#REF!</v>
      </c>
      <c r="E56" s="136"/>
      <c r="F56" s="136"/>
      <c r="G56" s="136"/>
      <c r="H56" s="136"/>
      <c r="I56" s="137">
        <f>I55/'Sources and Uses Existing'!$D$13</f>
        <v>0.08459635011</v>
      </c>
      <c r="J56" s="138">
        <f>J55/'Sources and Uses Existing'!$D$13</f>
        <v>0.09468655644</v>
      </c>
      <c r="K56" s="138">
        <f>K55/'Sources and Uses Existing'!$D$13</f>
        <v>0.105079469</v>
      </c>
      <c r="L56" s="138">
        <f>L55/'Sources and Uses Existing'!$D$13</f>
        <v>0.1157841689</v>
      </c>
      <c r="M56" s="139">
        <f>M55/'Sources and Uses Existing'!$D$13</f>
        <v>0.1268100098</v>
      </c>
      <c r="O56" s="140">
        <f>I51+I53+I54</f>
        <v>197650</v>
      </c>
    </row>
    <row r="57" ht="15.75" customHeight="1">
      <c r="C57" s="43" t="s">
        <v>7</v>
      </c>
      <c r="H57" s="141" t="str">
        <f>'Sources and Uses Existing'!L8</f>
        <v>Total Principal Reduction</v>
      </c>
      <c r="I57" s="142">
        <f>'Sources and Uses Existing'!M8</f>
        <v>-45818.00406</v>
      </c>
      <c r="J57" s="142">
        <f>'Sources and Uses Existing'!N8</f>
        <v>-48886.52065</v>
      </c>
      <c r="K57" s="142">
        <f>'Sources and Uses Existing'!O8</f>
        <v>-52160.54147</v>
      </c>
      <c r="L57" s="142">
        <f>'Sources and Uses Existing'!P8</f>
        <v>-55653.82954</v>
      </c>
      <c r="M57" s="142">
        <f>'Sources and Uses Existing'!Q8</f>
        <v>-59381.06957</v>
      </c>
    </row>
    <row r="58" ht="15.75" customHeight="1">
      <c r="C58" s="43" t="s">
        <v>25</v>
      </c>
      <c r="I58" s="45">
        <f>'Sources and Uses Existing'!M9</f>
        <v>2729181.996</v>
      </c>
      <c r="J58" s="142">
        <f>'Sources and Uses Existing'!N9</f>
        <v>2680295.475</v>
      </c>
      <c r="K58" s="142">
        <f>'Sources and Uses Existing'!O9</f>
        <v>2628134.934</v>
      </c>
      <c r="L58" s="142">
        <f>'Sources and Uses Existing'!P9</f>
        <v>2572481.104</v>
      </c>
      <c r="M58" s="142">
        <f>'Sources and Uses Existing'!Q9</f>
        <v>2513100.035</v>
      </c>
    </row>
    <row r="59" ht="15.75" customHeight="1">
      <c r="C59" s="43" t="s">
        <v>39</v>
      </c>
      <c r="I59" s="46">
        <f t="shared" ref="I59:M59" si="51">I47/0.08</f>
        <v>6645687.5</v>
      </c>
      <c r="J59" s="46">
        <f t="shared" si="51"/>
        <v>6845058.125</v>
      </c>
      <c r="K59" s="46">
        <f t="shared" si="51"/>
        <v>7050409.869</v>
      </c>
      <c r="L59" s="46">
        <f t="shared" si="51"/>
        <v>7261922.165</v>
      </c>
      <c r="M59" s="46">
        <f t="shared" si="51"/>
        <v>7479779.83</v>
      </c>
    </row>
    <row r="60" ht="15.75" customHeight="1">
      <c r="C60" s="43" t="s">
        <v>152</v>
      </c>
      <c r="I60" s="46">
        <f t="shared" ref="I60:M60" si="52">I59*0.06</f>
        <v>398741.25</v>
      </c>
      <c r="J60" s="46">
        <f t="shared" si="52"/>
        <v>410703.4875</v>
      </c>
      <c r="K60" s="46">
        <f t="shared" si="52"/>
        <v>423024.5921</v>
      </c>
      <c r="L60" s="46">
        <f t="shared" si="52"/>
        <v>435715.3299</v>
      </c>
      <c r="M60" s="46">
        <f t="shared" si="52"/>
        <v>448786.7898</v>
      </c>
      <c r="P60" s="143">
        <f>I55+I52</f>
        <v>334005</v>
      </c>
    </row>
    <row r="61" ht="15.75" customHeight="1">
      <c r="C61" s="43" t="s">
        <v>153</v>
      </c>
      <c r="I61" s="46">
        <f t="shared" ref="I61:M61" si="53">I59-I60-I58</f>
        <v>3517764.254</v>
      </c>
      <c r="J61" s="46">
        <f t="shared" si="53"/>
        <v>3754059.162</v>
      </c>
      <c r="K61" s="46">
        <f t="shared" si="53"/>
        <v>3999250.343</v>
      </c>
      <c r="L61" s="46">
        <f t="shared" si="53"/>
        <v>4253725.731</v>
      </c>
      <c r="M61" s="46">
        <f t="shared" si="53"/>
        <v>4517893.005</v>
      </c>
    </row>
    <row r="62" ht="15.75" customHeight="1">
      <c r="D62" s="108"/>
      <c r="E62" s="108"/>
      <c r="F62" s="108"/>
      <c r="O62" s="43"/>
    </row>
    <row r="63" ht="15.75" customHeight="1">
      <c r="D63" s="108"/>
      <c r="E63" s="108"/>
      <c r="F63" s="108"/>
      <c r="O63" s="43"/>
    </row>
    <row r="64" ht="15.75" customHeight="1">
      <c r="D64" s="108"/>
      <c r="E64" s="108"/>
      <c r="F64" s="108"/>
      <c r="O64" s="43"/>
    </row>
    <row r="65" ht="15.75" customHeight="1">
      <c r="D65" s="108"/>
      <c r="E65" s="108"/>
      <c r="F65" s="108"/>
      <c r="O65" s="43"/>
    </row>
    <row r="66" ht="15.75" customHeight="1">
      <c r="D66" s="108"/>
      <c r="E66" s="108"/>
      <c r="F66" s="108"/>
      <c r="O66" s="43"/>
    </row>
    <row r="67" ht="15.75" customHeight="1">
      <c r="D67" s="108"/>
      <c r="E67" s="108"/>
      <c r="F67" s="108"/>
      <c r="O67" s="43"/>
    </row>
    <row r="68" ht="15.75" customHeight="1">
      <c r="D68" s="108"/>
      <c r="E68" s="108"/>
      <c r="F68" s="108"/>
      <c r="O68" s="43"/>
    </row>
    <row r="69" ht="15.75" customHeight="1">
      <c r="D69" s="108"/>
      <c r="E69" s="108"/>
      <c r="F69" s="108"/>
      <c r="O69" s="43"/>
    </row>
    <row r="70" ht="15.75" customHeight="1">
      <c r="D70" s="108"/>
      <c r="E70" s="108"/>
      <c r="F70" s="108"/>
      <c r="O70" s="43"/>
    </row>
    <row r="71" ht="15.75" customHeight="1">
      <c r="D71" s="108"/>
      <c r="E71" s="108"/>
      <c r="F71" s="108"/>
      <c r="O71" s="43"/>
    </row>
    <row r="72" ht="15.75" customHeight="1">
      <c r="D72" s="108"/>
      <c r="E72" s="108"/>
      <c r="F72" s="108"/>
      <c r="O72" s="4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hidden="1" min="4" max="4" width="12.5"/>
    <col customWidth="1" min="5" max="7" width="12.5"/>
    <col customWidth="1" min="8" max="8" width="14.88"/>
    <col customWidth="1" min="9" max="13" width="12.25"/>
    <col customWidth="1" min="14" max="14" width="12.5"/>
    <col customWidth="1" min="15" max="15" width="34.13"/>
    <col customWidth="1" min="16" max="26" width="12.5"/>
  </cols>
  <sheetData>
    <row r="1" ht="9.75" customHeight="1"/>
    <row r="2" ht="15.75" customHeight="1">
      <c r="C2" s="1" t="s">
        <v>94</v>
      </c>
      <c r="D2" s="65"/>
      <c r="E2" s="65"/>
      <c r="F2" s="65"/>
      <c r="G2" s="65"/>
      <c r="H2" s="65"/>
      <c r="I2" s="65"/>
      <c r="J2" s="65"/>
      <c r="K2" s="65"/>
      <c r="L2" s="65"/>
      <c r="M2" s="65"/>
    </row>
    <row r="3" ht="15.75" customHeight="1">
      <c r="C3" s="66"/>
    </row>
    <row r="4" ht="15.75" customHeight="1">
      <c r="C4" s="67" t="s">
        <v>96</v>
      </c>
      <c r="D4" s="68">
        <v>2022.0</v>
      </c>
      <c r="E4" s="68">
        <v>2023.0</v>
      </c>
      <c r="F4" s="68">
        <v>2024.0</v>
      </c>
      <c r="G4" s="69" t="s">
        <v>97</v>
      </c>
      <c r="H4" s="68" t="s">
        <v>154</v>
      </c>
      <c r="I4" s="68" t="s">
        <v>98</v>
      </c>
      <c r="J4" s="68" t="s">
        <v>99</v>
      </c>
      <c r="K4" s="68" t="s">
        <v>100</v>
      </c>
      <c r="L4" s="68" t="s">
        <v>101</v>
      </c>
      <c r="M4" s="68" t="s">
        <v>102</v>
      </c>
    </row>
    <row r="5" ht="15.75" customHeight="1">
      <c r="C5" s="70" t="s">
        <v>103</v>
      </c>
      <c r="D5" s="71"/>
      <c r="E5" s="72"/>
      <c r="F5" s="72"/>
      <c r="G5" s="73"/>
      <c r="H5" s="76"/>
      <c r="I5" s="75">
        <v>1296000.0</v>
      </c>
      <c r="J5" s="71">
        <f t="shared" ref="J5:M5" si="1">I5*1.03</f>
        <v>1334880</v>
      </c>
      <c r="K5" s="71">
        <f t="shared" si="1"/>
        <v>1374926.4</v>
      </c>
      <c r="L5" s="71">
        <f t="shared" si="1"/>
        <v>1416174.192</v>
      </c>
      <c r="M5" s="71">
        <f t="shared" si="1"/>
        <v>1458659.418</v>
      </c>
    </row>
    <row r="6" ht="15.75" customHeight="1">
      <c r="C6" s="70" t="s">
        <v>104</v>
      </c>
      <c r="D6" s="71"/>
      <c r="E6" s="76"/>
      <c r="F6" s="76"/>
      <c r="G6" s="76"/>
      <c r="H6" s="76"/>
      <c r="I6" s="76">
        <f>-I5*0.1</f>
        <v>-129600</v>
      </c>
      <c r="J6" s="76">
        <f t="shared" ref="J6:M6" si="2">I6*1.03</f>
        <v>-133488</v>
      </c>
      <c r="K6" s="76">
        <f t="shared" si="2"/>
        <v>-137492.64</v>
      </c>
      <c r="L6" s="76">
        <f t="shared" si="2"/>
        <v>-141617.4192</v>
      </c>
      <c r="M6" s="76">
        <f t="shared" si="2"/>
        <v>-145865.9418</v>
      </c>
    </row>
    <row r="7" ht="15.75" customHeight="1">
      <c r="A7" s="78"/>
      <c r="B7" s="78"/>
      <c r="C7" s="79" t="s">
        <v>105</v>
      </c>
      <c r="D7" s="80"/>
      <c r="E7" s="81"/>
      <c r="F7" s="81"/>
      <c r="G7" s="81"/>
      <c r="H7" s="76"/>
      <c r="I7" s="80"/>
      <c r="J7" s="80">
        <f t="shared" ref="J7:M7" si="3">I7*1.03</f>
        <v>0</v>
      </c>
      <c r="K7" s="80">
        <f t="shared" si="3"/>
        <v>0</v>
      </c>
      <c r="L7" s="80">
        <f t="shared" si="3"/>
        <v>0</v>
      </c>
      <c r="M7" s="80">
        <f t="shared" si="3"/>
        <v>0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A8" s="78"/>
      <c r="B8" s="78"/>
      <c r="C8" s="83" t="s">
        <v>106</v>
      </c>
      <c r="D8" s="84"/>
      <c r="E8" s="85"/>
      <c r="F8" s="85"/>
      <c r="G8" s="85"/>
      <c r="H8" s="76"/>
      <c r="I8" s="86">
        <v>2500.0</v>
      </c>
      <c r="J8" s="84">
        <f t="shared" ref="J8:M8" si="4">I8*1.03</f>
        <v>2575</v>
      </c>
      <c r="K8" s="84">
        <f t="shared" si="4"/>
        <v>2652.25</v>
      </c>
      <c r="L8" s="84">
        <f t="shared" si="4"/>
        <v>2731.8175</v>
      </c>
      <c r="M8" s="84">
        <f t="shared" si="4"/>
        <v>2813.772025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5.75" customHeight="1">
      <c r="A9" s="78"/>
      <c r="B9" s="78"/>
      <c r="C9" s="83" t="s">
        <v>107</v>
      </c>
      <c r="D9" s="84"/>
      <c r="E9" s="87"/>
      <c r="F9" s="87"/>
      <c r="G9" s="85"/>
      <c r="H9" s="76"/>
      <c r="I9" s="86">
        <v>2500.0</v>
      </c>
      <c r="J9" s="84">
        <f t="shared" ref="J9:M9" si="5">I9*1.03</f>
        <v>2575</v>
      </c>
      <c r="K9" s="84">
        <f t="shared" si="5"/>
        <v>2652.25</v>
      </c>
      <c r="L9" s="84">
        <f t="shared" si="5"/>
        <v>2731.8175</v>
      </c>
      <c r="M9" s="84">
        <f t="shared" si="5"/>
        <v>2813.772025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83" t="s">
        <v>108</v>
      </c>
      <c r="D10" s="88"/>
      <c r="E10" s="89"/>
      <c r="F10" s="89"/>
      <c r="G10" s="87"/>
      <c r="H10" s="76"/>
      <c r="I10" s="86"/>
      <c r="J10" s="84">
        <f t="shared" ref="J10:M10" si="6">I10*1.03</f>
        <v>0</v>
      </c>
      <c r="K10" s="84">
        <f t="shared" si="6"/>
        <v>0</v>
      </c>
      <c r="L10" s="84">
        <f t="shared" si="6"/>
        <v>0</v>
      </c>
      <c r="M10" s="84">
        <f t="shared" si="6"/>
        <v>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83" t="s">
        <v>109</v>
      </c>
      <c r="D11" s="84"/>
      <c r="E11" s="85"/>
      <c r="F11" s="85"/>
      <c r="G11" s="85"/>
      <c r="H11" s="76"/>
      <c r="I11" s="86">
        <v>2500.0</v>
      </c>
      <c r="J11" s="84">
        <f t="shared" ref="J11:M11" si="7">I11*1.03</f>
        <v>2575</v>
      </c>
      <c r="K11" s="84">
        <f t="shared" si="7"/>
        <v>2652.25</v>
      </c>
      <c r="L11" s="84">
        <f t="shared" si="7"/>
        <v>2731.8175</v>
      </c>
      <c r="M11" s="84">
        <f t="shared" si="7"/>
        <v>2813.772025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79" t="s">
        <v>110</v>
      </c>
      <c r="D12" s="90">
        <f>SUM(D8:D11)</f>
        <v>0</v>
      </c>
      <c r="E12" s="81"/>
      <c r="F12" s="81"/>
      <c r="G12" s="81"/>
      <c r="H12" s="81"/>
      <c r="I12" s="92">
        <f>SUM(I5:I11)</f>
        <v>1173900</v>
      </c>
      <c r="J12" s="92">
        <f t="shared" ref="J12:M12" si="8">I12*1.03</f>
        <v>1209117</v>
      </c>
      <c r="K12" s="92">
        <f t="shared" si="8"/>
        <v>1245390.51</v>
      </c>
      <c r="L12" s="92">
        <f t="shared" si="8"/>
        <v>1282752.225</v>
      </c>
      <c r="M12" s="92">
        <f t="shared" si="8"/>
        <v>1321234.792</v>
      </c>
      <c r="N12" s="78"/>
      <c r="O12" s="93">
        <f>I12*0.05</f>
        <v>58695</v>
      </c>
      <c r="P12" s="78">
        <f>55*4000</f>
        <v>220000</v>
      </c>
      <c r="Q12" s="78">
        <f>P12*12</f>
        <v>2640000</v>
      </c>
      <c r="R12" s="78">
        <f>Q12*0.95</f>
        <v>2508000</v>
      </c>
      <c r="S12" s="78">
        <f>R12*0.05</f>
        <v>125400</v>
      </c>
      <c r="T12" s="78"/>
      <c r="U12" s="78"/>
      <c r="V12" s="78"/>
      <c r="W12" s="78"/>
      <c r="X12" s="78"/>
      <c r="Y12" s="78"/>
      <c r="Z12" s="78"/>
    </row>
    <row r="13" ht="15.75" customHeight="1">
      <c r="A13" s="78"/>
      <c r="B13" s="78"/>
      <c r="C13" s="94"/>
      <c r="D13" s="84"/>
      <c r="E13" s="84"/>
      <c r="F13" s="84"/>
      <c r="G13" s="85"/>
      <c r="H13" s="84"/>
      <c r="I13" s="84"/>
      <c r="J13" s="84">
        <f t="shared" ref="J13:M13" si="9">I13*1.03</f>
        <v>0</v>
      </c>
      <c r="K13" s="84">
        <f t="shared" si="9"/>
        <v>0</v>
      </c>
      <c r="L13" s="84">
        <f t="shared" si="9"/>
        <v>0</v>
      </c>
      <c r="M13" s="84">
        <f t="shared" si="9"/>
        <v>0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78"/>
      <c r="B14" s="78"/>
      <c r="C14" s="79" t="s">
        <v>111</v>
      </c>
      <c r="D14" s="80"/>
      <c r="E14" s="80"/>
      <c r="F14" s="80"/>
      <c r="G14" s="81"/>
      <c r="H14" s="80"/>
      <c r="I14" s="80"/>
      <c r="J14" s="80">
        <f t="shared" ref="J14:M14" si="10">I14*1.03</f>
        <v>0</v>
      </c>
      <c r="K14" s="80">
        <f t="shared" si="10"/>
        <v>0</v>
      </c>
      <c r="L14" s="80">
        <f t="shared" si="10"/>
        <v>0</v>
      </c>
      <c r="M14" s="80">
        <f t="shared" si="10"/>
        <v>0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78"/>
      <c r="B15" s="78"/>
      <c r="C15" s="97" t="s">
        <v>112</v>
      </c>
      <c r="D15" s="98"/>
      <c r="E15" s="99"/>
      <c r="F15" s="99"/>
      <c r="G15" s="87"/>
      <c r="H15" s="104"/>
      <c r="I15" s="86">
        <v>3500.0</v>
      </c>
      <c r="J15" s="84">
        <f t="shared" ref="J15:M15" si="11">I15*1.03</f>
        <v>3605</v>
      </c>
      <c r="K15" s="84">
        <f t="shared" si="11"/>
        <v>3713.15</v>
      </c>
      <c r="L15" s="84">
        <f t="shared" si="11"/>
        <v>3824.5445</v>
      </c>
      <c r="M15" s="84">
        <f t="shared" si="11"/>
        <v>3939.280835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78"/>
      <c r="B16" s="78"/>
      <c r="C16" s="97" t="s">
        <v>113</v>
      </c>
      <c r="D16" s="101"/>
      <c r="E16" s="99"/>
      <c r="F16" s="99"/>
      <c r="G16" s="87"/>
      <c r="H16" s="104"/>
      <c r="I16" s="86">
        <v>3500.0</v>
      </c>
      <c r="J16" s="84">
        <f t="shared" ref="J16:M16" si="12">I16*1.03</f>
        <v>3605</v>
      </c>
      <c r="K16" s="84">
        <f t="shared" si="12"/>
        <v>3713.15</v>
      </c>
      <c r="L16" s="84">
        <f t="shared" si="12"/>
        <v>3824.5445</v>
      </c>
      <c r="M16" s="84">
        <f t="shared" si="12"/>
        <v>3939.280835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78"/>
      <c r="B17" s="78"/>
      <c r="C17" s="97" t="s">
        <v>114</v>
      </c>
      <c r="D17" s="101"/>
      <c r="E17" s="99"/>
      <c r="F17" s="102"/>
      <c r="G17" s="87"/>
      <c r="H17" s="104"/>
      <c r="I17" s="86">
        <v>250.0</v>
      </c>
      <c r="J17" s="84">
        <f t="shared" ref="J17:M17" si="13">I17*1.03</f>
        <v>257.5</v>
      </c>
      <c r="K17" s="84">
        <f t="shared" si="13"/>
        <v>265.225</v>
      </c>
      <c r="L17" s="84">
        <f t="shared" si="13"/>
        <v>273.18175</v>
      </c>
      <c r="M17" s="84">
        <f t="shared" si="13"/>
        <v>281.3772025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78"/>
      <c r="B18" s="78"/>
      <c r="C18" s="97" t="s">
        <v>115</v>
      </c>
      <c r="D18" s="101"/>
      <c r="E18" s="99"/>
      <c r="F18" s="99"/>
      <c r="G18" s="87"/>
      <c r="H18" s="104"/>
      <c r="I18" s="86">
        <v>2820.0</v>
      </c>
      <c r="J18" s="84">
        <f t="shared" ref="J18:M18" si="14">I18*1.03</f>
        <v>2904.6</v>
      </c>
      <c r="K18" s="84">
        <f t="shared" si="14"/>
        <v>2991.738</v>
      </c>
      <c r="L18" s="84">
        <f t="shared" si="14"/>
        <v>3081.49014</v>
      </c>
      <c r="M18" s="84">
        <f t="shared" si="14"/>
        <v>3173.934844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78"/>
      <c r="B19" s="78"/>
      <c r="C19" s="97" t="s">
        <v>116</v>
      </c>
      <c r="D19" s="101"/>
      <c r="E19" s="99"/>
      <c r="F19" s="99"/>
      <c r="G19" s="87"/>
      <c r="H19" s="104"/>
      <c r="I19" s="86">
        <v>15000.0</v>
      </c>
      <c r="J19" s="84">
        <f t="shared" ref="J19:M19" si="15">I19*1.03</f>
        <v>15450</v>
      </c>
      <c r="K19" s="84">
        <f t="shared" si="15"/>
        <v>15913.5</v>
      </c>
      <c r="L19" s="84">
        <f t="shared" si="15"/>
        <v>16390.905</v>
      </c>
      <c r="M19" s="84">
        <f t="shared" si="15"/>
        <v>16882.63215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78"/>
      <c r="B20" s="78"/>
      <c r="C20" s="97" t="s">
        <v>117</v>
      </c>
      <c r="D20" s="84"/>
      <c r="E20" s="104"/>
      <c r="F20" s="104"/>
      <c r="G20" s="85"/>
      <c r="H20" s="104"/>
      <c r="I20" s="84"/>
      <c r="J20" s="84">
        <f t="shared" ref="J20:M20" si="16">I20*1.03</f>
        <v>0</v>
      </c>
      <c r="K20" s="84">
        <f t="shared" si="16"/>
        <v>0</v>
      </c>
      <c r="L20" s="84">
        <f t="shared" si="16"/>
        <v>0</v>
      </c>
      <c r="M20" s="84">
        <f t="shared" si="16"/>
        <v>0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78"/>
      <c r="C21" s="97" t="s">
        <v>118</v>
      </c>
      <c r="D21" s="101"/>
      <c r="E21" s="99"/>
      <c r="F21" s="99"/>
      <c r="G21" s="87"/>
      <c r="H21" s="104"/>
      <c r="I21" s="86">
        <v>1500.0</v>
      </c>
      <c r="J21" s="84">
        <f t="shared" ref="J21:M21" si="17">I21*1.03</f>
        <v>1545</v>
      </c>
      <c r="K21" s="84">
        <f t="shared" si="17"/>
        <v>1591.35</v>
      </c>
      <c r="L21" s="84">
        <f t="shared" si="17"/>
        <v>1639.0905</v>
      </c>
      <c r="M21" s="84">
        <f t="shared" si="17"/>
        <v>1688.263215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78"/>
      <c r="C22" s="97" t="s">
        <v>119</v>
      </c>
      <c r="D22" s="106"/>
      <c r="E22" s="104"/>
      <c r="F22" s="100"/>
      <c r="G22" s="85"/>
      <c r="H22" s="104"/>
      <c r="I22" s="84"/>
      <c r="J22" s="84">
        <f t="shared" ref="J22:M22" si="18">I22*1.03</f>
        <v>0</v>
      </c>
      <c r="K22" s="84">
        <f t="shared" si="18"/>
        <v>0</v>
      </c>
      <c r="L22" s="84">
        <f t="shared" si="18"/>
        <v>0</v>
      </c>
      <c r="M22" s="84">
        <f t="shared" si="18"/>
        <v>0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97" t="s">
        <v>120</v>
      </c>
      <c r="D23" s="84"/>
      <c r="E23" s="104"/>
      <c r="F23" s="100"/>
      <c r="G23" s="87"/>
      <c r="H23" s="104"/>
      <c r="I23" s="86">
        <v>500000.0</v>
      </c>
      <c r="J23" s="84">
        <f t="shared" ref="J23:M23" si="19">I23*1.03</f>
        <v>515000</v>
      </c>
      <c r="K23" s="84">
        <f t="shared" si="19"/>
        <v>530450</v>
      </c>
      <c r="L23" s="84">
        <f t="shared" si="19"/>
        <v>546363.5</v>
      </c>
      <c r="M23" s="84">
        <f t="shared" si="19"/>
        <v>562754.405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97" t="s">
        <v>121</v>
      </c>
      <c r="D24" s="84"/>
      <c r="E24" s="104"/>
      <c r="F24" s="104"/>
      <c r="G24" s="85"/>
      <c r="H24" s="104"/>
      <c r="I24" s="84"/>
      <c r="J24" s="84">
        <f t="shared" ref="J24:M24" si="20">I24*1.03</f>
        <v>0</v>
      </c>
      <c r="K24" s="84">
        <f t="shared" si="20"/>
        <v>0</v>
      </c>
      <c r="L24" s="84">
        <f t="shared" si="20"/>
        <v>0</v>
      </c>
      <c r="M24" s="84">
        <f t="shared" si="20"/>
        <v>0</v>
      </c>
      <c r="N24" s="78"/>
      <c r="O24" s="78"/>
      <c r="P24" s="78"/>
      <c r="Q24" s="78"/>
      <c r="R24" s="78"/>
      <c r="S24" s="78"/>
      <c r="T24" s="110">
        <f>10*50000</f>
        <v>500000</v>
      </c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97" t="s">
        <v>122</v>
      </c>
      <c r="D25" s="84"/>
      <c r="E25" s="104"/>
      <c r="F25" s="104"/>
      <c r="G25" s="85"/>
      <c r="H25" s="104"/>
      <c r="I25" s="84"/>
      <c r="J25" s="84">
        <f t="shared" ref="J25:M25" si="21">I25*1.03</f>
        <v>0</v>
      </c>
      <c r="K25" s="84">
        <f t="shared" si="21"/>
        <v>0</v>
      </c>
      <c r="L25" s="84">
        <f t="shared" si="21"/>
        <v>0</v>
      </c>
      <c r="M25" s="84">
        <f t="shared" si="21"/>
        <v>0</v>
      </c>
      <c r="N25" s="78"/>
      <c r="O25" s="78"/>
      <c r="P25" s="78"/>
      <c r="Q25" s="78"/>
      <c r="R25" s="78"/>
      <c r="S25" s="78"/>
      <c r="T25" s="110">
        <f>125000*10</f>
        <v>1250000</v>
      </c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97" t="s">
        <v>123</v>
      </c>
      <c r="D26" s="101"/>
      <c r="E26" s="99"/>
      <c r="F26" s="111"/>
      <c r="G26" s="87"/>
      <c r="H26" s="104"/>
      <c r="I26" s="86">
        <v>20000.0</v>
      </c>
      <c r="J26" s="84">
        <f t="shared" ref="J26:M26" si="22">I26*1.03</f>
        <v>20600</v>
      </c>
      <c r="K26" s="84">
        <f t="shared" si="22"/>
        <v>21218</v>
      </c>
      <c r="L26" s="84">
        <f t="shared" si="22"/>
        <v>21854.54</v>
      </c>
      <c r="M26" s="84">
        <f t="shared" si="22"/>
        <v>22510.1762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97" t="s">
        <v>124</v>
      </c>
      <c r="D27" s="84"/>
      <c r="E27" s="104"/>
      <c r="F27" s="84"/>
      <c r="G27" s="85"/>
      <c r="H27" s="104"/>
      <c r="I27" s="84"/>
      <c r="J27" s="84">
        <f t="shared" ref="J27:M27" si="23">I27*1.03</f>
        <v>0</v>
      </c>
      <c r="K27" s="84">
        <f t="shared" si="23"/>
        <v>0</v>
      </c>
      <c r="L27" s="84">
        <f t="shared" si="23"/>
        <v>0</v>
      </c>
      <c r="M27" s="84">
        <f t="shared" si="23"/>
        <v>0</v>
      </c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97" t="s">
        <v>125</v>
      </c>
      <c r="D28" s="84"/>
      <c r="E28" s="104"/>
      <c r="F28" s="100"/>
      <c r="G28" s="87"/>
      <c r="H28" s="104"/>
      <c r="I28" s="86">
        <v>1500.0</v>
      </c>
      <c r="J28" s="84">
        <f t="shared" ref="J28:M28" si="24">I28*1.03</f>
        <v>1545</v>
      </c>
      <c r="K28" s="84">
        <f t="shared" si="24"/>
        <v>1591.35</v>
      </c>
      <c r="L28" s="84">
        <f t="shared" si="24"/>
        <v>1639.0905</v>
      </c>
      <c r="M28" s="84">
        <f t="shared" si="24"/>
        <v>1688.263215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97" t="s">
        <v>126</v>
      </c>
      <c r="D29" s="101"/>
      <c r="E29" s="99"/>
      <c r="F29" s="111"/>
      <c r="G29" s="87"/>
      <c r="H29" s="104"/>
      <c r="I29" s="86">
        <v>15000.0</v>
      </c>
      <c r="J29" s="84">
        <f t="shared" ref="J29:M29" si="25">I29*1.03</f>
        <v>15450</v>
      </c>
      <c r="K29" s="84">
        <f t="shared" si="25"/>
        <v>15913.5</v>
      </c>
      <c r="L29" s="84">
        <f t="shared" si="25"/>
        <v>16390.905</v>
      </c>
      <c r="M29" s="84">
        <f t="shared" si="25"/>
        <v>16882.63215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15"/>
      <c r="B30" s="15"/>
      <c r="C30" s="97" t="s">
        <v>127</v>
      </c>
      <c r="D30" s="84"/>
      <c r="E30" s="100"/>
      <c r="F30" s="86"/>
      <c r="G30" s="85"/>
      <c r="H30" s="104"/>
      <c r="I30" s="84"/>
      <c r="J30" s="84">
        <f t="shared" ref="J30:M30" si="26">I30*1.03</f>
        <v>0</v>
      </c>
      <c r="K30" s="84">
        <f t="shared" si="26"/>
        <v>0</v>
      </c>
      <c r="L30" s="84">
        <f t="shared" si="26"/>
        <v>0</v>
      </c>
      <c r="M30" s="84">
        <f t="shared" si="26"/>
        <v>0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78"/>
      <c r="B31" s="78"/>
      <c r="C31" s="97" t="s">
        <v>128</v>
      </c>
      <c r="D31" s="84"/>
      <c r="E31" s="104"/>
      <c r="F31" s="84"/>
      <c r="G31" s="85"/>
      <c r="H31" s="104"/>
      <c r="I31" s="84"/>
      <c r="J31" s="84">
        <f t="shared" ref="J31:M31" si="27">I31*1.03</f>
        <v>0</v>
      </c>
      <c r="K31" s="84">
        <f t="shared" si="27"/>
        <v>0</v>
      </c>
      <c r="L31" s="84">
        <f t="shared" si="27"/>
        <v>0</v>
      </c>
      <c r="M31" s="84">
        <f t="shared" si="27"/>
        <v>0</v>
      </c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97" t="s">
        <v>129</v>
      </c>
      <c r="D32" s="101"/>
      <c r="E32" s="112"/>
      <c r="F32" s="111"/>
      <c r="G32" s="87"/>
      <c r="H32" s="104"/>
      <c r="I32" s="86">
        <v>2400.0</v>
      </c>
      <c r="J32" s="84">
        <f t="shared" ref="J32:M32" si="28">I32*1.03</f>
        <v>2472</v>
      </c>
      <c r="K32" s="84">
        <f t="shared" si="28"/>
        <v>2546.16</v>
      </c>
      <c r="L32" s="84">
        <f t="shared" si="28"/>
        <v>2622.5448</v>
      </c>
      <c r="M32" s="84">
        <f t="shared" si="28"/>
        <v>2701.221144</v>
      </c>
      <c r="N32" s="78"/>
      <c r="O32" s="113"/>
      <c r="P32" s="114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97" t="s">
        <v>130</v>
      </c>
      <c r="D33" s="101"/>
      <c r="E33" s="99"/>
      <c r="F33" s="111"/>
      <c r="G33" s="87"/>
      <c r="H33" s="104"/>
      <c r="I33" s="86">
        <v>13000.0</v>
      </c>
      <c r="J33" s="84">
        <f t="shared" ref="J33:M33" si="29">I33*1.03</f>
        <v>13390</v>
      </c>
      <c r="K33" s="84">
        <f t="shared" si="29"/>
        <v>13791.7</v>
      </c>
      <c r="L33" s="84">
        <f t="shared" si="29"/>
        <v>14205.451</v>
      </c>
      <c r="M33" s="84">
        <f t="shared" si="29"/>
        <v>14631.61453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97" t="s">
        <v>131</v>
      </c>
      <c r="D34" s="115"/>
      <c r="E34" s="102"/>
      <c r="F34" s="101"/>
      <c r="G34" s="87"/>
      <c r="H34" s="104"/>
      <c r="I34" s="86">
        <v>2500.0</v>
      </c>
      <c r="J34" s="84">
        <f t="shared" ref="J34:M34" si="30">I34*1.03</f>
        <v>2575</v>
      </c>
      <c r="K34" s="84">
        <f t="shared" si="30"/>
        <v>2652.25</v>
      </c>
      <c r="L34" s="84">
        <f t="shared" si="30"/>
        <v>2731.8175</v>
      </c>
      <c r="M34" s="84">
        <f t="shared" si="30"/>
        <v>2813.772025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97" t="s">
        <v>132</v>
      </c>
      <c r="D35" s="101"/>
      <c r="E35" s="102"/>
      <c r="F35" s="101"/>
      <c r="G35" s="87"/>
      <c r="H35" s="104"/>
      <c r="I35" s="84"/>
      <c r="J35" s="84">
        <f t="shared" ref="J35:M35" si="31">I35*1.03</f>
        <v>0</v>
      </c>
      <c r="K35" s="84">
        <f t="shared" si="31"/>
        <v>0</v>
      </c>
      <c r="L35" s="84">
        <f t="shared" si="31"/>
        <v>0</v>
      </c>
      <c r="M35" s="84">
        <f t="shared" si="31"/>
        <v>0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97" t="s">
        <v>133</v>
      </c>
      <c r="D36" s="84"/>
      <c r="E36" s="100"/>
      <c r="F36" s="100"/>
      <c r="G36" s="100"/>
      <c r="H36" s="104"/>
      <c r="I36" s="86">
        <v>15000.0</v>
      </c>
      <c r="J36" s="84">
        <f t="shared" ref="J36:M36" si="32">I36*1.03</f>
        <v>15450</v>
      </c>
      <c r="K36" s="84">
        <f t="shared" si="32"/>
        <v>15913.5</v>
      </c>
      <c r="L36" s="84">
        <f t="shared" si="32"/>
        <v>16390.905</v>
      </c>
      <c r="M36" s="84">
        <f t="shared" si="32"/>
        <v>16882.63215</v>
      </c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97" t="s">
        <v>134</v>
      </c>
      <c r="D37" s="101"/>
      <c r="E37" s="99"/>
      <c r="F37" s="101"/>
      <c r="G37" s="87"/>
      <c r="H37" s="104"/>
      <c r="I37" s="86">
        <v>70000.0</v>
      </c>
      <c r="J37" s="84">
        <f t="shared" ref="J37:M37" si="33">I37*1.03</f>
        <v>72100</v>
      </c>
      <c r="K37" s="84">
        <f t="shared" si="33"/>
        <v>74263</v>
      </c>
      <c r="L37" s="84">
        <f t="shared" si="33"/>
        <v>76490.89</v>
      </c>
      <c r="M37" s="84">
        <f t="shared" si="33"/>
        <v>78785.6167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97" t="s">
        <v>135</v>
      </c>
      <c r="D38" s="98"/>
      <c r="E38" s="102"/>
      <c r="F38" s="101"/>
      <c r="G38" s="85"/>
      <c r="H38" s="104"/>
      <c r="I38" s="86">
        <v>15000.0</v>
      </c>
      <c r="J38" s="84">
        <f t="shared" ref="J38:M38" si="34">I38*1.03</f>
        <v>15450</v>
      </c>
      <c r="K38" s="84">
        <f t="shared" si="34"/>
        <v>15913.5</v>
      </c>
      <c r="L38" s="84">
        <f t="shared" si="34"/>
        <v>16390.905</v>
      </c>
      <c r="M38" s="84">
        <f t="shared" si="34"/>
        <v>16882.63215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97" t="s">
        <v>136</v>
      </c>
      <c r="D39" s="101"/>
      <c r="E39" s="99"/>
      <c r="F39" s="111"/>
      <c r="G39" s="87"/>
      <c r="H39" s="104"/>
      <c r="I39" s="86">
        <v>2500.0</v>
      </c>
      <c r="J39" s="84">
        <f t="shared" ref="J39:M39" si="35">I39*1.03</f>
        <v>2575</v>
      </c>
      <c r="K39" s="84">
        <f t="shared" si="35"/>
        <v>2652.25</v>
      </c>
      <c r="L39" s="84">
        <f t="shared" si="35"/>
        <v>2731.8175</v>
      </c>
      <c r="M39" s="84">
        <f t="shared" si="35"/>
        <v>2813.772025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97" t="s">
        <v>137</v>
      </c>
      <c r="D40" s="101"/>
      <c r="E40" s="102"/>
      <c r="F40" s="102"/>
      <c r="G40" s="85"/>
      <c r="H40" s="104"/>
      <c r="I40" s="86"/>
      <c r="J40" s="84">
        <f t="shared" ref="J40:M40" si="36">I40*1.03</f>
        <v>0</v>
      </c>
      <c r="K40" s="84">
        <f t="shared" si="36"/>
        <v>0</v>
      </c>
      <c r="L40" s="84">
        <f t="shared" si="36"/>
        <v>0</v>
      </c>
      <c r="M40" s="84">
        <f t="shared" si="36"/>
        <v>0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97" t="s">
        <v>138</v>
      </c>
      <c r="D41" s="84"/>
      <c r="E41" s="104"/>
      <c r="F41" s="100"/>
      <c r="G41" s="85"/>
      <c r="H41" s="104"/>
      <c r="I41" s="86">
        <v>12000.0</v>
      </c>
      <c r="J41" s="84">
        <f t="shared" ref="J41:M41" si="37">I41*1.03</f>
        <v>12360</v>
      </c>
      <c r="K41" s="84">
        <f t="shared" si="37"/>
        <v>12730.8</v>
      </c>
      <c r="L41" s="84">
        <f t="shared" si="37"/>
        <v>13112.724</v>
      </c>
      <c r="M41" s="84">
        <f t="shared" si="37"/>
        <v>13506.10572</v>
      </c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97" t="s">
        <v>139</v>
      </c>
      <c r="D42" s="84"/>
      <c r="E42" s="104"/>
      <c r="F42" s="104"/>
      <c r="G42" s="85"/>
      <c r="H42" s="104"/>
      <c r="I42" s="84"/>
      <c r="J42" s="84">
        <f t="shared" ref="J42:M42" si="38">I42*1.03</f>
        <v>0</v>
      </c>
      <c r="K42" s="84">
        <f t="shared" si="38"/>
        <v>0</v>
      </c>
      <c r="L42" s="84">
        <f t="shared" si="38"/>
        <v>0</v>
      </c>
      <c r="M42" s="84">
        <f t="shared" si="38"/>
        <v>0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97" t="s">
        <v>140</v>
      </c>
      <c r="D43" s="84"/>
      <c r="E43" s="100"/>
      <c r="F43" s="104"/>
      <c r="G43" s="87"/>
      <c r="H43" s="104"/>
      <c r="I43" s="86">
        <v>0.0</v>
      </c>
      <c r="J43" s="84">
        <f t="shared" ref="J43:M43" si="39">I43*1.03</f>
        <v>0</v>
      </c>
      <c r="K43" s="84">
        <f t="shared" si="39"/>
        <v>0</v>
      </c>
      <c r="L43" s="84">
        <f t="shared" si="39"/>
        <v>0</v>
      </c>
      <c r="M43" s="84">
        <f t="shared" si="39"/>
        <v>0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97" t="s">
        <v>141</v>
      </c>
      <c r="D44" s="101"/>
      <c r="E44" s="99"/>
      <c r="F44" s="102"/>
      <c r="G44" s="87"/>
      <c r="H44" s="104"/>
      <c r="I44" s="86">
        <v>45000.0</v>
      </c>
      <c r="J44" s="84">
        <f t="shared" ref="J44:M44" si="40">I44*1.03</f>
        <v>46350</v>
      </c>
      <c r="K44" s="84">
        <f t="shared" si="40"/>
        <v>47740.5</v>
      </c>
      <c r="L44" s="84">
        <f t="shared" si="40"/>
        <v>49172.715</v>
      </c>
      <c r="M44" s="84">
        <f t="shared" si="40"/>
        <v>50647.89645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97" t="s">
        <v>142</v>
      </c>
      <c r="D45" s="101"/>
      <c r="E45" s="99"/>
      <c r="F45" s="99"/>
      <c r="G45" s="87"/>
      <c r="H45" s="104"/>
      <c r="I45" s="86">
        <v>1500.0</v>
      </c>
      <c r="J45" s="84">
        <f t="shared" ref="J45:M45" si="41">I45*1.03</f>
        <v>1545</v>
      </c>
      <c r="K45" s="84">
        <f t="shared" si="41"/>
        <v>1591.35</v>
      </c>
      <c r="L45" s="84">
        <f t="shared" si="41"/>
        <v>1639.0905</v>
      </c>
      <c r="M45" s="84">
        <f t="shared" si="41"/>
        <v>1688.263215</v>
      </c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116" t="s">
        <v>143</v>
      </c>
      <c r="D46" s="117">
        <f t="shared" ref="D46:M46" si="42">SUM(D15:D45)</f>
        <v>0</v>
      </c>
      <c r="E46" s="118">
        <f t="shared" si="42"/>
        <v>0</v>
      </c>
      <c r="F46" s="117">
        <f t="shared" si="42"/>
        <v>0</v>
      </c>
      <c r="G46" s="119">
        <f t="shared" si="42"/>
        <v>0</v>
      </c>
      <c r="H46" s="118">
        <f t="shared" si="42"/>
        <v>0</v>
      </c>
      <c r="I46" s="117">
        <f t="shared" si="42"/>
        <v>741970</v>
      </c>
      <c r="J46" s="117">
        <f t="shared" si="42"/>
        <v>764229.1</v>
      </c>
      <c r="K46" s="117">
        <f t="shared" si="42"/>
        <v>787155.973</v>
      </c>
      <c r="L46" s="117">
        <f t="shared" si="42"/>
        <v>810770.6522</v>
      </c>
      <c r="M46" s="117">
        <f t="shared" si="42"/>
        <v>835093.7718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116" t="s">
        <v>144</v>
      </c>
      <c r="D47" s="117">
        <f t="shared" ref="D47:M47" si="43">D12-D46</f>
        <v>0</v>
      </c>
      <c r="E47" s="118">
        <f t="shared" si="43"/>
        <v>0</v>
      </c>
      <c r="F47" s="117">
        <f t="shared" si="43"/>
        <v>0</v>
      </c>
      <c r="G47" s="119">
        <f t="shared" si="43"/>
        <v>0</v>
      </c>
      <c r="H47" s="118">
        <f t="shared" si="43"/>
        <v>0</v>
      </c>
      <c r="I47" s="117">
        <f t="shared" si="43"/>
        <v>431930</v>
      </c>
      <c r="J47" s="117">
        <f t="shared" si="43"/>
        <v>444887.9</v>
      </c>
      <c r="K47" s="117">
        <f t="shared" si="43"/>
        <v>458234.537</v>
      </c>
      <c r="L47" s="117">
        <f t="shared" si="43"/>
        <v>471981.5731</v>
      </c>
      <c r="M47" s="117">
        <f t="shared" si="43"/>
        <v>486141.0203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5.25" customHeight="1">
      <c r="C48" s="120"/>
      <c r="D48" s="84"/>
      <c r="E48" s="84"/>
      <c r="F48" s="84"/>
      <c r="G48" s="84"/>
      <c r="H48" s="84"/>
      <c r="I48" s="84"/>
      <c r="J48" s="84"/>
      <c r="K48" s="84"/>
      <c r="L48" s="84"/>
      <c r="M48" s="84"/>
    </row>
    <row r="49" ht="19.5" customHeight="1">
      <c r="C49" s="121" t="s">
        <v>145</v>
      </c>
      <c r="D49" s="122" t="str">
        <f>D47/'Deal Overview'!$C$5</f>
        <v>#REF!</v>
      </c>
      <c r="E49" s="122">
        <f>E47/'Sources and Uses New'!$D$5</f>
        <v>0</v>
      </c>
      <c r="F49" s="122">
        <f>F47/'Sources and Uses New'!$D$5</f>
        <v>0</v>
      </c>
      <c r="G49" s="122">
        <f>G47/'Sources and Uses New'!$D$5</f>
        <v>0</v>
      </c>
      <c r="H49" s="122">
        <f>H47/'Sources and Uses New'!$D$5</f>
        <v>0</v>
      </c>
      <c r="I49" s="122">
        <f>I47/'Sources and Uses New'!$D$5</f>
        <v>0.1121896104</v>
      </c>
      <c r="J49" s="122">
        <f>J47/'Sources and Uses New'!$D$5</f>
        <v>0.1155552987</v>
      </c>
      <c r="K49" s="122">
        <f>K47/'Sources and Uses New'!$D$5</f>
        <v>0.1190219577</v>
      </c>
      <c r="L49" s="122">
        <f>L47/'Sources and Uses New'!$D$5</f>
        <v>0.1225926164</v>
      </c>
      <c r="M49" s="122">
        <f>M47/'Sources and Uses New'!$D$5</f>
        <v>0.1262703949</v>
      </c>
    </row>
    <row r="50" ht="18.0" customHeight="1">
      <c r="A50" s="78"/>
      <c r="B50" s="78"/>
      <c r="C50" s="123" t="s">
        <v>146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8.0" customHeight="1">
      <c r="A51" s="78"/>
      <c r="B51" s="78"/>
      <c r="C51" s="124" t="s">
        <v>147</v>
      </c>
      <c r="D51" s="84"/>
      <c r="E51" s="84"/>
      <c r="F51" s="84"/>
      <c r="G51" s="84"/>
      <c r="H51" s="84"/>
      <c r="I51" s="126">
        <f>I12*0.02</f>
        <v>23478</v>
      </c>
      <c r="J51" s="126">
        <f t="shared" ref="J51:M51" si="44">I51</f>
        <v>23478</v>
      </c>
      <c r="K51" s="126">
        <f t="shared" si="44"/>
        <v>23478</v>
      </c>
      <c r="L51" s="126">
        <f t="shared" si="44"/>
        <v>23478</v>
      </c>
      <c r="M51" s="126">
        <f t="shared" si="44"/>
        <v>23478</v>
      </c>
      <c r="N51" s="78"/>
      <c r="O51" s="93">
        <f>I12-I46-I51-I53-I54</f>
        <v>338018</v>
      </c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C52" s="66" t="s">
        <v>148</v>
      </c>
      <c r="D52" s="127"/>
      <c r="E52" s="127"/>
      <c r="F52" s="128">
        <f>F47/I52</f>
        <v>0</v>
      </c>
      <c r="G52" s="127"/>
      <c r="H52" s="127"/>
      <c r="I52" s="129">
        <f>'Sources and Uses Existing'!J9</f>
        <v>224843.9847</v>
      </c>
      <c r="J52" s="130">
        <f t="shared" ref="J52:M52" si="45">I52</f>
        <v>224843.9847</v>
      </c>
      <c r="K52" s="130">
        <f t="shared" si="45"/>
        <v>224843.9847</v>
      </c>
      <c r="L52" s="130">
        <f t="shared" si="45"/>
        <v>224843.9847</v>
      </c>
      <c r="M52" s="131">
        <f t="shared" si="45"/>
        <v>224843.9847</v>
      </c>
      <c r="O52" s="132">
        <f>O51-I52</f>
        <v>113174.0153</v>
      </c>
      <c r="R52" s="45">
        <f>'Sources and Uses Existing'!D13</f>
        <v>1290375</v>
      </c>
    </row>
    <row r="53" ht="15.75" customHeight="1">
      <c r="C53" s="78" t="s">
        <v>149</v>
      </c>
      <c r="H53" s="133">
        <v>0.01</v>
      </c>
      <c r="I53" s="134">
        <f>H53*I12</f>
        <v>11739</v>
      </c>
      <c r="J53" s="108">
        <f t="shared" ref="J53:M53" si="46">J12*0.01</f>
        <v>12091.17</v>
      </c>
      <c r="K53" s="108">
        <f t="shared" si="46"/>
        <v>12453.9051</v>
      </c>
      <c r="L53" s="108">
        <f t="shared" si="46"/>
        <v>12827.52225</v>
      </c>
      <c r="M53" s="135">
        <f t="shared" si="46"/>
        <v>13212.34792</v>
      </c>
    </row>
    <row r="54" ht="15.75" customHeight="1">
      <c r="C54" s="78" t="s">
        <v>124</v>
      </c>
      <c r="H54" s="133">
        <v>0.05</v>
      </c>
      <c r="I54" s="134">
        <f>H54*I12</f>
        <v>58695</v>
      </c>
      <c r="J54" s="108">
        <f t="shared" ref="J54:M54" si="47">J12*0.01</f>
        <v>12091.17</v>
      </c>
      <c r="K54" s="108">
        <f t="shared" si="47"/>
        <v>12453.9051</v>
      </c>
      <c r="L54" s="108">
        <f t="shared" si="47"/>
        <v>12827.52225</v>
      </c>
      <c r="M54" s="135">
        <f t="shared" si="47"/>
        <v>13212.34792</v>
      </c>
    </row>
    <row r="55" ht="15.75" customHeight="1">
      <c r="C55" s="78" t="s">
        <v>150</v>
      </c>
      <c r="I55" s="134">
        <f t="shared" ref="I55:M55" si="48">I47-I51-I52-I53-I54</f>
        <v>113174.0153</v>
      </c>
      <c r="J55" s="108">
        <f t="shared" si="48"/>
        <v>172383.5753</v>
      </c>
      <c r="K55" s="108">
        <f t="shared" si="48"/>
        <v>185004.7421</v>
      </c>
      <c r="L55" s="108">
        <f t="shared" si="48"/>
        <v>198004.5439</v>
      </c>
      <c r="M55" s="135">
        <f t="shared" si="48"/>
        <v>211394.3397</v>
      </c>
    </row>
    <row r="56" ht="15.75" customHeight="1">
      <c r="C56" s="78" t="s">
        <v>151</v>
      </c>
      <c r="D56" s="136" t="str">
        <f>D55/'Deal Overview'!$C$8</f>
        <v>#REF!</v>
      </c>
      <c r="E56" s="136"/>
      <c r="F56" s="136"/>
      <c r="G56" s="136"/>
      <c r="H56" s="136"/>
      <c r="I56" s="137">
        <f>I55/'Sources and Uses New'!$D$13</f>
        <v>0.08428917024</v>
      </c>
      <c r="J56" s="138">
        <f>J55/'Sources and Uses New'!$D$13</f>
        <v>0.1283869666</v>
      </c>
      <c r="K56" s="138">
        <f>K55/'Sources and Uses New'!$D$13</f>
        <v>0.1377868954</v>
      </c>
      <c r="L56" s="138">
        <f>L55/'Sources and Uses New'!$D$13</f>
        <v>0.147468822</v>
      </c>
      <c r="M56" s="139">
        <f>M55/'Sources and Uses New'!$D$13</f>
        <v>0.1574412063</v>
      </c>
      <c r="O56" s="140">
        <f>I51+I53+I54</f>
        <v>93912</v>
      </c>
    </row>
    <row r="57" ht="15.75" customHeight="1">
      <c r="C57" s="43" t="s">
        <v>7</v>
      </c>
      <c r="H57" s="141" t="str">
        <f>'Sources and Uses Existing'!L8</f>
        <v>Total Principal Reduction</v>
      </c>
      <c r="I57" s="142">
        <f>'Sources and Uses New'!M8</f>
        <v>-47675.49071</v>
      </c>
      <c r="J57" s="142">
        <f>'Sources and Uses New'!N8</f>
        <v>-50868.40662</v>
      </c>
      <c r="K57" s="142">
        <f>'Sources and Uses New'!O8</f>
        <v>-54275.15802</v>
      </c>
      <c r="L57" s="142">
        <f>'Sources and Uses New'!P8</f>
        <v>-57910.06587</v>
      </c>
      <c r="M57" s="142">
        <f>'Sources and Uses New'!Q8</f>
        <v>-61788.41023</v>
      </c>
    </row>
    <row r="58" ht="15.75" customHeight="1">
      <c r="C58" s="43" t="s">
        <v>25</v>
      </c>
      <c r="I58" s="45">
        <f>'Sources and Uses New'!M9</f>
        <v>2839824.509</v>
      </c>
      <c r="J58" s="142">
        <f>'Sources and Uses New'!N9</f>
        <v>2788956.103</v>
      </c>
      <c r="K58" s="142">
        <f>'Sources and Uses New'!O9</f>
        <v>2734680.945</v>
      </c>
      <c r="L58" s="142">
        <f>'Sources and Uses New'!P9</f>
        <v>2676770.879</v>
      </c>
      <c r="M58" s="142">
        <f>'Sources and Uses New'!Q9</f>
        <v>2614982.469</v>
      </c>
    </row>
    <row r="59" ht="15.75" customHeight="1">
      <c r="C59" s="43" t="s">
        <v>39</v>
      </c>
      <c r="I59" s="46">
        <f t="shared" ref="I59:M59" si="49">I47/0.08</f>
        <v>5399125</v>
      </c>
      <c r="J59" s="46">
        <f t="shared" si="49"/>
        <v>5561098.75</v>
      </c>
      <c r="K59" s="46">
        <f t="shared" si="49"/>
        <v>5727931.713</v>
      </c>
      <c r="L59" s="46">
        <f t="shared" si="49"/>
        <v>5899769.664</v>
      </c>
      <c r="M59" s="46">
        <f t="shared" si="49"/>
        <v>6076762.754</v>
      </c>
    </row>
    <row r="60" ht="15.75" customHeight="1">
      <c r="C60" s="43" t="s">
        <v>152</v>
      </c>
      <c r="I60" s="46">
        <f t="shared" ref="I60:M60" si="50">I59*0.06</f>
        <v>323947.5</v>
      </c>
      <c r="J60" s="46">
        <f t="shared" si="50"/>
        <v>333665.925</v>
      </c>
      <c r="K60" s="46">
        <f t="shared" si="50"/>
        <v>343675.9028</v>
      </c>
      <c r="L60" s="46">
        <f t="shared" si="50"/>
        <v>353986.1798</v>
      </c>
      <c r="M60" s="46">
        <f t="shared" si="50"/>
        <v>364605.7652</v>
      </c>
      <c r="P60" s="143">
        <f>I55+I52</f>
        <v>338018</v>
      </c>
    </row>
    <row r="61" ht="15.75" customHeight="1">
      <c r="C61" s="43" t="s">
        <v>153</v>
      </c>
      <c r="I61" s="46">
        <f t="shared" ref="I61:M61" si="51">I59-I60-I58</f>
        <v>2235352.991</v>
      </c>
      <c r="J61" s="46">
        <f t="shared" si="51"/>
        <v>2438476.722</v>
      </c>
      <c r="K61" s="46">
        <f t="shared" si="51"/>
        <v>2649574.865</v>
      </c>
      <c r="L61" s="46">
        <f t="shared" si="51"/>
        <v>2869012.605</v>
      </c>
      <c r="M61" s="46">
        <f t="shared" si="51"/>
        <v>3097174.52</v>
      </c>
    </row>
    <row r="62" ht="15.75" customHeight="1">
      <c r="D62" s="108"/>
      <c r="E62" s="108"/>
      <c r="F62" s="108"/>
      <c r="O62" s="43"/>
    </row>
    <row r="63" ht="15.75" customHeight="1">
      <c r="D63" s="108"/>
      <c r="E63" s="108"/>
      <c r="F63" s="108"/>
      <c r="O63" s="43"/>
    </row>
    <row r="64" ht="15.75" customHeight="1">
      <c r="D64" s="108"/>
      <c r="E64" s="108"/>
      <c r="F64" s="108"/>
      <c r="O64" s="43"/>
    </row>
    <row r="65" ht="15.75" customHeight="1">
      <c r="D65" s="108"/>
      <c r="E65" s="108"/>
      <c r="F65" s="108"/>
      <c r="O65" s="43"/>
    </row>
    <row r="66" ht="15.75" customHeight="1">
      <c r="D66" s="108"/>
      <c r="E66" s="108"/>
      <c r="F66" s="108"/>
      <c r="O66" s="43"/>
    </row>
    <row r="67" ht="15.75" customHeight="1">
      <c r="D67" s="108"/>
      <c r="E67" s="108"/>
      <c r="F67" s="108"/>
      <c r="O67" s="43"/>
    </row>
    <row r="68" ht="15.75" customHeight="1">
      <c r="D68" s="108"/>
      <c r="E68" s="108"/>
      <c r="F68" s="108"/>
      <c r="O68" s="43"/>
    </row>
    <row r="69" ht="15.75" customHeight="1">
      <c r="D69" s="108"/>
      <c r="E69" s="108"/>
      <c r="F69" s="108"/>
      <c r="O69" s="43"/>
    </row>
    <row r="70" ht="15.75" customHeight="1">
      <c r="D70" s="108"/>
      <c r="E70" s="108"/>
      <c r="F70" s="108"/>
      <c r="O70" s="43"/>
    </row>
    <row r="71" ht="15.75" customHeight="1">
      <c r="D71" s="108"/>
      <c r="E71" s="108"/>
      <c r="F71" s="108"/>
      <c r="O71" s="43"/>
    </row>
    <row r="72" ht="15.75" customHeight="1">
      <c r="D72" s="108"/>
      <c r="E72" s="108"/>
      <c r="F72" s="108"/>
      <c r="O72" s="4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min="4" max="7" width="12.5"/>
    <col customWidth="1" min="8" max="8" width="14.88"/>
    <col customWidth="1" min="9" max="13" width="12.25"/>
    <col customWidth="1" min="14" max="14" width="12.5"/>
    <col customWidth="1" min="15" max="15" width="18.75"/>
    <col customWidth="1" min="16" max="26" width="12.5"/>
  </cols>
  <sheetData>
    <row r="1" ht="9.75" customHeight="1"/>
    <row r="2" ht="15.75" customHeight="1">
      <c r="C2" s="1" t="s">
        <v>94</v>
      </c>
      <c r="D2" s="65"/>
      <c r="E2" s="65"/>
      <c r="F2" s="65"/>
      <c r="G2" s="65"/>
      <c r="H2" s="65"/>
      <c r="I2" s="65"/>
      <c r="J2" s="65"/>
      <c r="K2" s="65"/>
      <c r="L2" s="65"/>
      <c r="M2" s="65"/>
    </row>
    <row r="3" ht="15.75" customHeight="1">
      <c r="C3" s="66"/>
    </row>
    <row r="4" ht="15.75" customHeight="1">
      <c r="C4" s="67" t="s">
        <v>96</v>
      </c>
      <c r="D4" s="68">
        <v>2022.0</v>
      </c>
      <c r="E4" s="68">
        <v>2023.0</v>
      </c>
      <c r="F4" s="68">
        <v>2024.0</v>
      </c>
      <c r="G4" s="69" t="s">
        <v>155</v>
      </c>
      <c r="H4" s="68" t="s">
        <v>154</v>
      </c>
      <c r="I4" s="68" t="s">
        <v>98</v>
      </c>
      <c r="J4" s="68" t="s">
        <v>99</v>
      </c>
      <c r="K4" s="68" t="s">
        <v>100</v>
      </c>
      <c r="L4" s="68" t="s">
        <v>101</v>
      </c>
      <c r="M4" s="68" t="s">
        <v>102</v>
      </c>
    </row>
    <row r="5" ht="15.75" customHeight="1">
      <c r="C5" s="70" t="s">
        <v>103</v>
      </c>
      <c r="D5" s="71"/>
      <c r="E5" s="71"/>
      <c r="F5" s="71"/>
      <c r="G5" s="71"/>
      <c r="H5" s="71"/>
      <c r="I5" s="71">
        <f>5000*20*12</f>
        <v>1200000</v>
      </c>
      <c r="J5" s="71">
        <f t="shared" ref="J5:M5" si="1">I5*1.03</f>
        <v>1236000</v>
      </c>
      <c r="K5" s="71">
        <f t="shared" si="1"/>
        <v>1273080</v>
      </c>
      <c r="L5" s="71">
        <f t="shared" si="1"/>
        <v>1311272.4</v>
      </c>
      <c r="M5" s="71">
        <f t="shared" si="1"/>
        <v>1350610.572</v>
      </c>
    </row>
    <row r="6" ht="15.75" customHeight="1">
      <c r="C6" s="70" t="s">
        <v>104</v>
      </c>
      <c r="D6" s="71"/>
      <c r="E6" s="71"/>
      <c r="F6" s="71"/>
      <c r="G6" s="71"/>
      <c r="H6" s="71"/>
      <c r="I6" s="71">
        <f t="shared" ref="I6:M6" si="2">-I5*0.08</f>
        <v>-96000</v>
      </c>
      <c r="J6" s="71">
        <f t="shared" si="2"/>
        <v>-98880</v>
      </c>
      <c r="K6" s="71">
        <f t="shared" si="2"/>
        <v>-101846.4</v>
      </c>
      <c r="L6" s="71">
        <f t="shared" si="2"/>
        <v>-104901.792</v>
      </c>
      <c r="M6" s="71">
        <f t="shared" si="2"/>
        <v>-108048.8458</v>
      </c>
    </row>
    <row r="7" ht="15.75" customHeight="1">
      <c r="A7" s="78"/>
      <c r="B7" s="78"/>
      <c r="C7" s="79" t="s">
        <v>105</v>
      </c>
      <c r="D7" s="80"/>
      <c r="E7" s="80"/>
      <c r="F7" s="80"/>
      <c r="G7" s="80"/>
      <c r="H7" s="80"/>
      <c r="I7" s="80"/>
      <c r="J7" s="80"/>
      <c r="K7" s="80"/>
      <c r="L7" s="80"/>
      <c r="M7" s="80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A8" s="78"/>
      <c r="B8" s="78"/>
      <c r="C8" s="83" t="s">
        <v>106</v>
      </c>
      <c r="D8" s="84"/>
      <c r="E8" s="84"/>
      <c r="F8" s="84"/>
      <c r="G8" s="84"/>
      <c r="H8" s="84"/>
      <c r="I8" s="84">
        <v>5000.0</v>
      </c>
      <c r="J8" s="84">
        <f t="shared" ref="J8:M8" si="3">I8*1.2</f>
        <v>6000</v>
      </c>
      <c r="K8" s="84">
        <f t="shared" si="3"/>
        <v>7200</v>
      </c>
      <c r="L8" s="84">
        <f t="shared" si="3"/>
        <v>8640</v>
      </c>
      <c r="M8" s="84">
        <f t="shared" si="3"/>
        <v>10368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5.75" customHeight="1">
      <c r="A9" s="78"/>
      <c r="B9" s="78"/>
      <c r="C9" s="83" t="s">
        <v>107</v>
      </c>
      <c r="D9" s="84"/>
      <c r="E9" s="84"/>
      <c r="F9" s="84"/>
      <c r="G9" s="84"/>
      <c r="H9" s="84"/>
      <c r="I9" s="84">
        <v>2500.0</v>
      </c>
      <c r="J9" s="84">
        <f t="shared" ref="J9:M9" si="4">I9</f>
        <v>2500</v>
      </c>
      <c r="K9" s="84">
        <f t="shared" si="4"/>
        <v>2500</v>
      </c>
      <c r="L9" s="84">
        <f t="shared" si="4"/>
        <v>2500</v>
      </c>
      <c r="M9" s="84">
        <f t="shared" si="4"/>
        <v>2500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83" t="s">
        <v>108</v>
      </c>
      <c r="D10" s="88">
        <v>762385.9</v>
      </c>
      <c r="E10" s="88">
        <v>898360.99</v>
      </c>
      <c r="F10" s="88">
        <v>982748.03</v>
      </c>
      <c r="G10" s="86">
        <v>229323.19</v>
      </c>
      <c r="H10" s="84">
        <f>G10*4</f>
        <v>917292.76</v>
      </c>
      <c r="I10" s="84">
        <f t="shared" ref="I10:M10" si="5">I5+I6</f>
        <v>1104000</v>
      </c>
      <c r="J10" s="84">
        <f t="shared" si="5"/>
        <v>1137120</v>
      </c>
      <c r="K10" s="84">
        <f t="shared" si="5"/>
        <v>1171233.6</v>
      </c>
      <c r="L10" s="84">
        <f t="shared" si="5"/>
        <v>1206370.608</v>
      </c>
      <c r="M10" s="84">
        <f t="shared" si="5"/>
        <v>1242561.726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83" t="s">
        <v>109</v>
      </c>
      <c r="D11" s="84"/>
      <c r="E11" s="84"/>
      <c r="F11" s="84"/>
      <c r="G11" s="84"/>
      <c r="H11" s="84"/>
      <c r="I11" s="84">
        <v>5000.0</v>
      </c>
      <c r="J11" s="84">
        <f t="shared" ref="J11:M11" si="6">I11*1.2</f>
        <v>6000</v>
      </c>
      <c r="K11" s="84">
        <f t="shared" si="6"/>
        <v>7200</v>
      </c>
      <c r="L11" s="84">
        <f t="shared" si="6"/>
        <v>8640</v>
      </c>
      <c r="M11" s="84">
        <f t="shared" si="6"/>
        <v>10368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79" t="s">
        <v>110</v>
      </c>
      <c r="D12" s="90">
        <f t="shared" ref="D12:M12" si="7">SUM(D8:D11)</f>
        <v>762385.9</v>
      </c>
      <c r="E12" s="90">
        <f t="shared" si="7"/>
        <v>898360.99</v>
      </c>
      <c r="F12" s="90">
        <f t="shared" si="7"/>
        <v>982748.03</v>
      </c>
      <c r="G12" s="90">
        <f t="shared" si="7"/>
        <v>229323.19</v>
      </c>
      <c r="H12" s="90">
        <f t="shared" si="7"/>
        <v>917292.76</v>
      </c>
      <c r="I12" s="90">
        <f t="shared" si="7"/>
        <v>1116500</v>
      </c>
      <c r="J12" s="90">
        <f t="shared" si="7"/>
        <v>1151620</v>
      </c>
      <c r="K12" s="90">
        <f t="shared" si="7"/>
        <v>1188133.6</v>
      </c>
      <c r="L12" s="90">
        <f t="shared" si="7"/>
        <v>1226150.608</v>
      </c>
      <c r="M12" s="90">
        <f t="shared" si="7"/>
        <v>1265797.726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78"/>
      <c r="B13" s="78"/>
      <c r="C13" s="9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78"/>
      <c r="B14" s="78"/>
      <c r="C14" s="79" t="s">
        <v>111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78"/>
      <c r="B15" s="78"/>
      <c r="C15" s="97" t="s">
        <v>112</v>
      </c>
      <c r="D15" s="98" t="s">
        <v>156</v>
      </c>
      <c r="E15" s="101">
        <v>1200.0</v>
      </c>
      <c r="F15" s="101">
        <v>11028.5</v>
      </c>
      <c r="G15" s="100">
        <v>1755.0</v>
      </c>
      <c r="H15" s="84">
        <f t="shared" ref="H15:H45" si="9">G15*4</f>
        <v>7020</v>
      </c>
      <c r="I15" s="86">
        <v>8000.0</v>
      </c>
      <c r="J15" s="84">
        <f t="shared" ref="J15:M15" si="8">I15*1.03</f>
        <v>8240</v>
      </c>
      <c r="K15" s="84">
        <f t="shared" si="8"/>
        <v>8487.2</v>
      </c>
      <c r="L15" s="84">
        <f t="shared" si="8"/>
        <v>8741.816</v>
      </c>
      <c r="M15" s="84">
        <f t="shared" si="8"/>
        <v>9004.07048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78"/>
      <c r="B16" s="78"/>
      <c r="C16" s="97" t="s">
        <v>113</v>
      </c>
      <c r="D16" s="101">
        <v>5965.18</v>
      </c>
      <c r="E16" s="101">
        <v>1525.14</v>
      </c>
      <c r="F16" s="101">
        <v>6522.48</v>
      </c>
      <c r="G16" s="100">
        <v>606.38</v>
      </c>
      <c r="H16" s="84">
        <f t="shared" si="9"/>
        <v>2425.52</v>
      </c>
      <c r="I16" s="86">
        <v>6500.0</v>
      </c>
      <c r="J16" s="84">
        <f t="shared" ref="J16:M16" si="10">I16*1.03</f>
        <v>6695</v>
      </c>
      <c r="K16" s="84">
        <f t="shared" si="10"/>
        <v>6895.85</v>
      </c>
      <c r="L16" s="84">
        <f t="shared" si="10"/>
        <v>7102.7255</v>
      </c>
      <c r="M16" s="84">
        <f t="shared" si="10"/>
        <v>7315.807265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78"/>
      <c r="B17" s="78"/>
      <c r="C17" s="97" t="s">
        <v>114</v>
      </c>
      <c r="D17" s="101">
        <v>2.0</v>
      </c>
      <c r="E17" s="101">
        <v>1455.2</v>
      </c>
      <c r="F17" s="101">
        <v>1158.92</v>
      </c>
      <c r="G17" s="100">
        <v>75.0</v>
      </c>
      <c r="H17" s="84">
        <f t="shared" si="9"/>
        <v>300</v>
      </c>
      <c r="I17" s="84">
        <v>1200.0</v>
      </c>
      <c r="J17" s="84">
        <f t="shared" ref="J17:M17" si="11">I17*1.03</f>
        <v>1236</v>
      </c>
      <c r="K17" s="84">
        <f t="shared" si="11"/>
        <v>1273.08</v>
      </c>
      <c r="L17" s="84">
        <f t="shared" si="11"/>
        <v>1311.2724</v>
      </c>
      <c r="M17" s="84">
        <f t="shared" si="11"/>
        <v>1350.610572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78"/>
      <c r="B18" s="78"/>
      <c r="C18" s="97" t="s">
        <v>115</v>
      </c>
      <c r="D18" s="101">
        <v>2317.0</v>
      </c>
      <c r="E18" s="101">
        <v>2689.0</v>
      </c>
      <c r="F18" s="101">
        <v>829.0</v>
      </c>
      <c r="G18" s="104"/>
      <c r="H18" s="84">
        <f t="shared" si="9"/>
        <v>0</v>
      </c>
      <c r="I18" s="84">
        <v>2500.0</v>
      </c>
      <c r="J18" s="84">
        <f t="shared" ref="J18:M18" si="12">I18*1.03</f>
        <v>2575</v>
      </c>
      <c r="K18" s="84">
        <f t="shared" si="12"/>
        <v>2652.25</v>
      </c>
      <c r="L18" s="84">
        <f t="shared" si="12"/>
        <v>2731.8175</v>
      </c>
      <c r="M18" s="84">
        <f t="shared" si="12"/>
        <v>2813.772025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78"/>
      <c r="B19" s="78"/>
      <c r="C19" s="97" t="s">
        <v>116</v>
      </c>
      <c r="D19" s="101">
        <v>3067.5</v>
      </c>
      <c r="E19" s="101">
        <v>3745.0</v>
      </c>
      <c r="F19" s="101">
        <v>4617.5</v>
      </c>
      <c r="G19" s="100">
        <v>957.5</v>
      </c>
      <c r="H19" s="84">
        <f t="shared" si="9"/>
        <v>3830</v>
      </c>
      <c r="I19" s="84">
        <v>4500.0</v>
      </c>
      <c r="J19" s="84">
        <f t="shared" ref="J19:M19" si="13">I19*1.03</f>
        <v>4635</v>
      </c>
      <c r="K19" s="84">
        <f t="shared" si="13"/>
        <v>4774.05</v>
      </c>
      <c r="L19" s="84">
        <f t="shared" si="13"/>
        <v>4917.2715</v>
      </c>
      <c r="M19" s="84">
        <f t="shared" si="13"/>
        <v>5064.789645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78"/>
      <c r="B20" s="78"/>
      <c r="C20" s="97" t="s">
        <v>117</v>
      </c>
      <c r="D20" s="84"/>
      <c r="E20" s="84"/>
      <c r="F20" s="84"/>
      <c r="G20" s="104"/>
      <c r="H20" s="84">
        <f t="shared" si="9"/>
        <v>0</v>
      </c>
      <c r="I20" s="84"/>
      <c r="J20" s="84">
        <f t="shared" ref="J20:M20" si="14">I20*1.03</f>
        <v>0</v>
      </c>
      <c r="K20" s="84">
        <f t="shared" si="14"/>
        <v>0</v>
      </c>
      <c r="L20" s="84">
        <f t="shared" si="14"/>
        <v>0</v>
      </c>
      <c r="M20" s="84">
        <f t="shared" si="14"/>
        <v>0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78"/>
      <c r="C21" s="97" t="s">
        <v>118</v>
      </c>
      <c r="D21" s="101">
        <v>1918.81</v>
      </c>
      <c r="E21" s="101">
        <v>1699.73</v>
      </c>
      <c r="F21" s="101">
        <v>5171.09</v>
      </c>
      <c r="G21" s="100">
        <v>1305.48</v>
      </c>
      <c r="H21" s="84">
        <f t="shared" si="9"/>
        <v>5221.92</v>
      </c>
      <c r="I21" s="84">
        <v>2500.0</v>
      </c>
      <c r="J21" s="84">
        <f t="shared" ref="J21:M21" si="15">I21*1.03</f>
        <v>2575</v>
      </c>
      <c r="K21" s="84">
        <f t="shared" si="15"/>
        <v>2652.25</v>
      </c>
      <c r="L21" s="84">
        <f t="shared" si="15"/>
        <v>2731.8175</v>
      </c>
      <c r="M21" s="84">
        <f t="shared" si="15"/>
        <v>2813.772025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78"/>
      <c r="C22" s="97" t="s">
        <v>119</v>
      </c>
      <c r="D22" s="106">
        <v>65000.0</v>
      </c>
      <c r="E22" s="106">
        <v>65000.0</v>
      </c>
      <c r="F22" s="144">
        <v>65000.0</v>
      </c>
      <c r="G22" s="145">
        <f>65000/4</f>
        <v>16250</v>
      </c>
      <c r="H22" s="84">
        <f t="shared" si="9"/>
        <v>65000</v>
      </c>
      <c r="I22" s="106">
        <v>65000.0</v>
      </c>
      <c r="J22" s="84">
        <f t="shared" ref="J22:M22" si="16">I22*1.03</f>
        <v>66950</v>
      </c>
      <c r="K22" s="84">
        <f t="shared" si="16"/>
        <v>68958.5</v>
      </c>
      <c r="L22" s="84">
        <f t="shared" si="16"/>
        <v>71027.255</v>
      </c>
      <c r="M22" s="84">
        <f t="shared" si="16"/>
        <v>73158.07265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97" t="s">
        <v>120</v>
      </c>
      <c r="D23" s="84">
        <f>372150.03-D22+2021.49+179</f>
        <v>309350.52</v>
      </c>
      <c r="E23" s="84">
        <f>516817.64-E22+752.07+1162.79</f>
        <v>453732.5</v>
      </c>
      <c r="F23" s="84">
        <f>543985.31-F22+1707.34+100</f>
        <v>480792.65</v>
      </c>
      <c r="G23" s="104">
        <f>133613.48-G22+98.35</f>
        <v>117461.83</v>
      </c>
      <c r="H23" s="84">
        <f t="shared" si="9"/>
        <v>469847.32</v>
      </c>
      <c r="I23" s="146">
        <v>450000.0</v>
      </c>
      <c r="J23" s="84">
        <f t="shared" ref="J23:M23" si="17">I23*1.03</f>
        <v>463500</v>
      </c>
      <c r="K23" s="84">
        <f t="shared" si="17"/>
        <v>477405</v>
      </c>
      <c r="L23" s="84">
        <f t="shared" si="17"/>
        <v>491727.15</v>
      </c>
      <c r="M23" s="84">
        <f t="shared" si="17"/>
        <v>506478.9645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97" t="s">
        <v>121</v>
      </c>
      <c r="D24" s="84"/>
      <c r="E24" s="84"/>
      <c r="F24" s="84"/>
      <c r="G24" s="104"/>
      <c r="H24" s="84">
        <f t="shared" si="9"/>
        <v>0</v>
      </c>
      <c r="I24" s="84">
        <v>0.0</v>
      </c>
      <c r="J24" s="84">
        <f t="shared" ref="J24:M24" si="18">I24*1.03</f>
        <v>0</v>
      </c>
      <c r="K24" s="84">
        <f t="shared" si="18"/>
        <v>0</v>
      </c>
      <c r="L24" s="84">
        <f t="shared" si="18"/>
        <v>0</v>
      </c>
      <c r="M24" s="84">
        <f t="shared" si="18"/>
        <v>0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97" t="s">
        <v>122</v>
      </c>
      <c r="D25" s="84"/>
      <c r="E25" s="84"/>
      <c r="F25" s="84"/>
      <c r="G25" s="104"/>
      <c r="H25" s="84">
        <f t="shared" si="9"/>
        <v>0</v>
      </c>
      <c r="I25" s="84">
        <v>0.0</v>
      </c>
      <c r="J25" s="84">
        <f t="shared" ref="J25:M25" si="19">I25*1.03</f>
        <v>0</v>
      </c>
      <c r="K25" s="84">
        <f t="shared" si="19"/>
        <v>0</v>
      </c>
      <c r="L25" s="84">
        <f t="shared" si="19"/>
        <v>0</v>
      </c>
      <c r="M25" s="84">
        <f t="shared" si="19"/>
        <v>0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97" t="s">
        <v>123</v>
      </c>
      <c r="D26" s="101">
        <f>8223.22+10820.73</f>
        <v>19043.95</v>
      </c>
      <c r="E26" s="101">
        <f>4866.29-13.35</f>
        <v>4852.94</v>
      </c>
      <c r="F26" s="101">
        <f>3711.27+1099.43</f>
        <v>4810.7</v>
      </c>
      <c r="G26" s="100">
        <f>699.96+277.55</f>
        <v>977.51</v>
      </c>
      <c r="H26" s="84">
        <f t="shared" si="9"/>
        <v>3910.04</v>
      </c>
      <c r="I26" s="84">
        <v>5000.0</v>
      </c>
      <c r="J26" s="84">
        <f t="shared" ref="J26:M26" si="20">I26*1.03</f>
        <v>5150</v>
      </c>
      <c r="K26" s="84">
        <f t="shared" si="20"/>
        <v>5304.5</v>
      </c>
      <c r="L26" s="84">
        <f t="shared" si="20"/>
        <v>5463.635</v>
      </c>
      <c r="M26" s="84">
        <f t="shared" si="20"/>
        <v>5627.54405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97" t="s">
        <v>124</v>
      </c>
      <c r="D27" s="84"/>
      <c r="E27" s="84"/>
      <c r="F27" s="84"/>
      <c r="G27" s="104"/>
      <c r="H27" s="84">
        <f t="shared" si="9"/>
        <v>0</v>
      </c>
      <c r="I27" s="84">
        <v>0.0</v>
      </c>
      <c r="J27" s="84">
        <f t="shared" ref="J27:M27" si="21">I27*1.03</f>
        <v>0</v>
      </c>
      <c r="K27" s="84">
        <f t="shared" si="21"/>
        <v>0</v>
      </c>
      <c r="L27" s="84">
        <f t="shared" si="21"/>
        <v>0</v>
      </c>
      <c r="M27" s="84">
        <f t="shared" si="21"/>
        <v>0</v>
      </c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97" t="s">
        <v>125</v>
      </c>
      <c r="D28" s="84"/>
      <c r="E28" s="84"/>
      <c r="F28" s="84"/>
      <c r="G28" s="104"/>
      <c r="H28" s="84">
        <f t="shared" si="9"/>
        <v>0</v>
      </c>
      <c r="I28" s="84">
        <v>0.0</v>
      </c>
      <c r="J28" s="84">
        <f t="shared" ref="J28:M28" si="22">I28*1.03</f>
        <v>0</v>
      </c>
      <c r="K28" s="84">
        <f t="shared" si="22"/>
        <v>0</v>
      </c>
      <c r="L28" s="84">
        <f t="shared" si="22"/>
        <v>0</v>
      </c>
      <c r="M28" s="84">
        <f t="shared" si="22"/>
        <v>0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97" t="s">
        <v>126</v>
      </c>
      <c r="D29" s="101">
        <v>1389.84</v>
      </c>
      <c r="E29" s="98" t="s">
        <v>156</v>
      </c>
      <c r="F29" s="101">
        <v>21949.61</v>
      </c>
      <c r="G29" s="100">
        <v>327.0</v>
      </c>
      <c r="H29" s="84">
        <f t="shared" si="9"/>
        <v>1308</v>
      </c>
      <c r="I29" s="106">
        <v>21949.61</v>
      </c>
      <c r="J29" s="84">
        <f t="shared" ref="J29:M29" si="23">I29*1.03</f>
        <v>22608.0983</v>
      </c>
      <c r="K29" s="84">
        <f t="shared" si="23"/>
        <v>23286.34125</v>
      </c>
      <c r="L29" s="84">
        <f t="shared" si="23"/>
        <v>23984.93149</v>
      </c>
      <c r="M29" s="84">
        <f t="shared" si="23"/>
        <v>24704.47943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15"/>
      <c r="B30" s="15"/>
      <c r="C30" s="97" t="s">
        <v>127</v>
      </c>
      <c r="D30" s="84"/>
      <c r="E30" s="84"/>
      <c r="F30" s="84"/>
      <c r="G30" s="104"/>
      <c r="H30" s="84">
        <f t="shared" si="9"/>
        <v>0</v>
      </c>
      <c r="I30" s="84"/>
      <c r="J30" s="84">
        <f t="shared" ref="J30:M30" si="24">I30*1.03</f>
        <v>0</v>
      </c>
      <c r="K30" s="84">
        <f t="shared" si="24"/>
        <v>0</v>
      </c>
      <c r="L30" s="84">
        <f t="shared" si="24"/>
        <v>0</v>
      </c>
      <c r="M30" s="84">
        <f t="shared" si="24"/>
        <v>0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78"/>
      <c r="B31" s="78"/>
      <c r="C31" s="97" t="s">
        <v>128</v>
      </c>
      <c r="D31" s="84"/>
      <c r="E31" s="84"/>
      <c r="F31" s="84"/>
      <c r="G31" s="104"/>
      <c r="H31" s="84">
        <f t="shared" si="9"/>
        <v>0</v>
      </c>
      <c r="I31" s="84"/>
      <c r="J31" s="84">
        <f t="shared" ref="J31:M31" si="25">I31*1.03</f>
        <v>0</v>
      </c>
      <c r="K31" s="84">
        <f t="shared" si="25"/>
        <v>0</v>
      </c>
      <c r="L31" s="84">
        <f t="shared" si="25"/>
        <v>0</v>
      </c>
      <c r="M31" s="84">
        <f t="shared" si="25"/>
        <v>0</v>
      </c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97" t="s">
        <v>129</v>
      </c>
      <c r="D32" s="101">
        <v>200.0</v>
      </c>
      <c r="E32" s="115"/>
      <c r="F32" s="101">
        <v>783.82</v>
      </c>
      <c r="G32" s="100">
        <v>98.2</v>
      </c>
      <c r="H32" s="84">
        <f t="shared" si="9"/>
        <v>392.8</v>
      </c>
      <c r="I32" s="84">
        <v>785.0</v>
      </c>
      <c r="J32" s="84">
        <f t="shared" ref="J32:M32" si="26">I32*1.03</f>
        <v>808.55</v>
      </c>
      <c r="K32" s="84">
        <f t="shared" si="26"/>
        <v>832.8065</v>
      </c>
      <c r="L32" s="84">
        <f t="shared" si="26"/>
        <v>857.790695</v>
      </c>
      <c r="M32" s="84">
        <f t="shared" si="26"/>
        <v>883.5244159</v>
      </c>
      <c r="N32" s="78"/>
      <c r="O32" s="113"/>
      <c r="P32" s="114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97" t="s">
        <v>130</v>
      </c>
      <c r="D33" s="101">
        <v>6602.89</v>
      </c>
      <c r="E33" s="101">
        <v>3349.16</v>
      </c>
      <c r="F33" s="101">
        <v>4064.08</v>
      </c>
      <c r="G33" s="100">
        <v>759.82</v>
      </c>
      <c r="H33" s="84">
        <f t="shared" si="9"/>
        <v>3039.28</v>
      </c>
      <c r="I33" s="84">
        <v>4500.0</v>
      </c>
      <c r="J33" s="84">
        <f t="shared" ref="J33:M33" si="27">I33*1.03</f>
        <v>4635</v>
      </c>
      <c r="K33" s="84">
        <f t="shared" si="27"/>
        <v>4774.05</v>
      </c>
      <c r="L33" s="84">
        <f t="shared" si="27"/>
        <v>4917.2715</v>
      </c>
      <c r="M33" s="84">
        <f t="shared" si="27"/>
        <v>5064.789645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97" t="s">
        <v>131</v>
      </c>
      <c r="D34" s="115">
        <f>43.3+950.68</f>
        <v>993.98</v>
      </c>
      <c r="E34" s="101">
        <f>161.88+27.49+659.21</f>
        <v>848.58</v>
      </c>
      <c r="F34" s="101">
        <f>744.4+99.66+25.86</f>
        <v>869.92</v>
      </c>
      <c r="G34" s="100">
        <f>1060.03+12.25+97.12</f>
        <v>1169.4</v>
      </c>
      <c r="H34" s="84">
        <f t="shared" si="9"/>
        <v>4677.6</v>
      </c>
      <c r="I34" s="84">
        <v>1000.0</v>
      </c>
      <c r="J34" s="84">
        <f t="shared" ref="J34:M34" si="28">I34*1.03</f>
        <v>1030</v>
      </c>
      <c r="K34" s="84">
        <f t="shared" si="28"/>
        <v>1060.9</v>
      </c>
      <c r="L34" s="84">
        <f t="shared" si="28"/>
        <v>1092.727</v>
      </c>
      <c r="M34" s="84">
        <f t="shared" si="28"/>
        <v>1125.50881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97" t="s">
        <v>132</v>
      </c>
      <c r="D35" s="101">
        <v>1206.29</v>
      </c>
      <c r="E35" s="101">
        <v>1308.0</v>
      </c>
      <c r="F35" s="101">
        <v>1309.9</v>
      </c>
      <c r="G35" s="100">
        <v>426.2</v>
      </c>
      <c r="H35" s="84">
        <f t="shared" si="9"/>
        <v>1704.8</v>
      </c>
      <c r="I35" s="84">
        <v>1500.0</v>
      </c>
      <c r="J35" s="84">
        <f t="shared" ref="J35:M35" si="29">I35*1.03</f>
        <v>1545</v>
      </c>
      <c r="K35" s="84">
        <f t="shared" si="29"/>
        <v>1591.35</v>
      </c>
      <c r="L35" s="84">
        <f t="shared" si="29"/>
        <v>1639.0905</v>
      </c>
      <c r="M35" s="84">
        <f t="shared" si="29"/>
        <v>1688.263215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97" t="s">
        <v>133</v>
      </c>
      <c r="D36" s="84"/>
      <c r="E36" s="84"/>
      <c r="F36" s="84"/>
      <c r="G36" s="104"/>
      <c r="H36" s="84">
        <f t="shared" si="9"/>
        <v>0</v>
      </c>
      <c r="I36" s="84"/>
      <c r="J36" s="84">
        <f t="shared" ref="J36:M36" si="30">I36*1.03</f>
        <v>0</v>
      </c>
      <c r="K36" s="84">
        <f t="shared" si="30"/>
        <v>0</v>
      </c>
      <c r="L36" s="84">
        <f t="shared" si="30"/>
        <v>0</v>
      </c>
      <c r="M36" s="84">
        <f t="shared" si="30"/>
        <v>0</v>
      </c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97" t="s">
        <v>134</v>
      </c>
      <c r="D37" s="101">
        <v>35749.36</v>
      </c>
      <c r="E37" s="101">
        <v>40486.08</v>
      </c>
      <c r="F37" s="101">
        <v>36303.32</v>
      </c>
      <c r="G37" s="100">
        <v>8753.37</v>
      </c>
      <c r="H37" s="84">
        <f t="shared" si="9"/>
        <v>35013.48</v>
      </c>
      <c r="I37" s="86">
        <v>40000.0</v>
      </c>
      <c r="J37" s="84">
        <f t="shared" ref="J37:M37" si="31">I37*1.03</f>
        <v>41200</v>
      </c>
      <c r="K37" s="84">
        <f t="shared" si="31"/>
        <v>42436</v>
      </c>
      <c r="L37" s="84">
        <f t="shared" si="31"/>
        <v>43709.08</v>
      </c>
      <c r="M37" s="84">
        <f t="shared" si="31"/>
        <v>45020.3524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97" t="s">
        <v>135</v>
      </c>
      <c r="D38" s="98">
        <v>19962.91</v>
      </c>
      <c r="E38" s="101">
        <f>1110.41+8499.21</f>
        <v>9609.62</v>
      </c>
      <c r="F38" s="101">
        <f>1029.82+12540.51</f>
        <v>13570.33</v>
      </c>
      <c r="G38" s="104">
        <f>1196.79+1240.18</f>
        <v>2436.97</v>
      </c>
      <c r="H38" s="84">
        <f t="shared" si="9"/>
        <v>9747.88</v>
      </c>
      <c r="I38" s="84">
        <v>15000.0</v>
      </c>
      <c r="J38" s="84">
        <f t="shared" ref="J38:M38" si="32">I38*1.03</f>
        <v>15450</v>
      </c>
      <c r="K38" s="84">
        <f t="shared" si="32"/>
        <v>15913.5</v>
      </c>
      <c r="L38" s="84">
        <f t="shared" si="32"/>
        <v>16390.905</v>
      </c>
      <c r="M38" s="84">
        <f t="shared" si="32"/>
        <v>16882.63215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97" t="s">
        <v>136</v>
      </c>
      <c r="D39" s="101">
        <v>520.38</v>
      </c>
      <c r="E39" s="101">
        <v>903.39</v>
      </c>
      <c r="F39" s="101">
        <v>945.64</v>
      </c>
      <c r="G39" s="100">
        <v>169.0</v>
      </c>
      <c r="H39" s="84">
        <f t="shared" si="9"/>
        <v>676</v>
      </c>
      <c r="I39" s="84">
        <v>2500.0</v>
      </c>
      <c r="J39" s="84">
        <f t="shared" ref="J39:M39" si="33">I39*1.03</f>
        <v>2575</v>
      </c>
      <c r="K39" s="84">
        <f t="shared" si="33"/>
        <v>2652.25</v>
      </c>
      <c r="L39" s="84">
        <f t="shared" si="33"/>
        <v>2731.8175</v>
      </c>
      <c r="M39" s="84">
        <f t="shared" si="33"/>
        <v>2813.772025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97" t="s">
        <v>137</v>
      </c>
      <c r="D40" s="101">
        <v>830.29</v>
      </c>
      <c r="E40" s="101">
        <v>25122.8</v>
      </c>
      <c r="F40" s="101">
        <v>9.7</v>
      </c>
      <c r="G40" s="104"/>
      <c r="H40" s="84">
        <f t="shared" si="9"/>
        <v>0</v>
      </c>
      <c r="I40" s="146">
        <v>9711.18</v>
      </c>
      <c r="J40" s="84">
        <f t="shared" ref="J40:M40" si="34">I40*1.03</f>
        <v>10002.5154</v>
      </c>
      <c r="K40" s="84">
        <f t="shared" si="34"/>
        <v>10302.59086</v>
      </c>
      <c r="L40" s="84">
        <f t="shared" si="34"/>
        <v>10611.66859</v>
      </c>
      <c r="M40" s="84">
        <f t="shared" si="34"/>
        <v>10930.01865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97" t="s">
        <v>138</v>
      </c>
      <c r="D41" s="84"/>
      <c r="E41" s="84"/>
      <c r="F41" s="84"/>
      <c r="G41" s="104"/>
      <c r="H41" s="84">
        <f t="shared" si="9"/>
        <v>0</v>
      </c>
      <c r="I41" s="84"/>
      <c r="J41" s="84">
        <f t="shared" ref="J41:M41" si="35">I41*1.03</f>
        <v>0</v>
      </c>
      <c r="K41" s="84">
        <f t="shared" si="35"/>
        <v>0</v>
      </c>
      <c r="L41" s="84">
        <f t="shared" si="35"/>
        <v>0</v>
      </c>
      <c r="M41" s="84">
        <f t="shared" si="35"/>
        <v>0</v>
      </c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97" t="s">
        <v>139</v>
      </c>
      <c r="D42" s="84"/>
      <c r="E42" s="84"/>
      <c r="F42" s="84"/>
      <c r="G42" s="104"/>
      <c r="H42" s="84">
        <f t="shared" si="9"/>
        <v>0</v>
      </c>
      <c r="I42" s="84"/>
      <c r="J42" s="84"/>
      <c r="K42" s="84"/>
      <c r="L42" s="84"/>
      <c r="M42" s="84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97" t="s">
        <v>140</v>
      </c>
      <c r="D43" s="84"/>
      <c r="E43" s="84"/>
      <c r="F43" s="84"/>
      <c r="G43" s="104"/>
      <c r="H43" s="84">
        <f t="shared" si="9"/>
        <v>0</v>
      </c>
      <c r="I43" s="84"/>
      <c r="J43" s="84">
        <f t="shared" ref="J43:M43" si="36">I43*1.03</f>
        <v>0</v>
      </c>
      <c r="K43" s="84">
        <f t="shared" si="36"/>
        <v>0</v>
      </c>
      <c r="L43" s="84">
        <f t="shared" si="36"/>
        <v>0</v>
      </c>
      <c r="M43" s="84">
        <f t="shared" si="36"/>
        <v>0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97" t="s">
        <v>141</v>
      </c>
      <c r="D44" s="101">
        <v>20822.61</v>
      </c>
      <c r="E44" s="101">
        <v>22200.0</v>
      </c>
      <c r="F44" s="101">
        <v>22898.16</v>
      </c>
      <c r="G44" s="100">
        <v>7152.11</v>
      </c>
      <c r="H44" s="84">
        <f t="shared" si="9"/>
        <v>28608.44</v>
      </c>
      <c r="I44" s="84">
        <v>23000.0</v>
      </c>
      <c r="J44" s="84">
        <f t="shared" ref="J44:M44" si="37">I44*1.03</f>
        <v>23690</v>
      </c>
      <c r="K44" s="84">
        <f t="shared" si="37"/>
        <v>24400.7</v>
      </c>
      <c r="L44" s="84">
        <f t="shared" si="37"/>
        <v>25132.721</v>
      </c>
      <c r="M44" s="84">
        <f t="shared" si="37"/>
        <v>25886.70263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97" t="s">
        <v>142</v>
      </c>
      <c r="D45" s="101">
        <v>639.0</v>
      </c>
      <c r="E45" s="101">
        <v>981.62</v>
      </c>
      <c r="F45" s="101">
        <v>349.5</v>
      </c>
      <c r="G45" s="104"/>
      <c r="H45" s="84">
        <f t="shared" si="9"/>
        <v>0</v>
      </c>
      <c r="I45" s="84">
        <v>1500.0</v>
      </c>
      <c r="J45" s="84">
        <f t="shared" ref="J45:M45" si="38">I45*1.03</f>
        <v>1545</v>
      </c>
      <c r="K45" s="84">
        <f t="shared" si="38"/>
        <v>1591.35</v>
      </c>
      <c r="L45" s="84">
        <f t="shared" si="38"/>
        <v>1639.0905</v>
      </c>
      <c r="M45" s="84">
        <f t="shared" si="38"/>
        <v>1688.263215</v>
      </c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116" t="s">
        <v>143</v>
      </c>
      <c r="D46" s="117">
        <f t="shared" ref="D46:M46" si="39">SUM(D15:D45)</f>
        <v>495582.51</v>
      </c>
      <c r="E46" s="117">
        <f t="shared" si="39"/>
        <v>640708.76</v>
      </c>
      <c r="F46" s="117">
        <f t="shared" si="39"/>
        <v>682984.82</v>
      </c>
      <c r="G46" s="117">
        <f t="shared" si="39"/>
        <v>160680.77</v>
      </c>
      <c r="H46" s="117">
        <f t="shared" si="39"/>
        <v>642723.08</v>
      </c>
      <c r="I46" s="117">
        <f t="shared" si="39"/>
        <v>666645.79</v>
      </c>
      <c r="J46" s="117">
        <f t="shared" si="39"/>
        <v>686645.1637</v>
      </c>
      <c r="K46" s="117">
        <f t="shared" si="39"/>
        <v>707244.5186</v>
      </c>
      <c r="L46" s="117">
        <f t="shared" si="39"/>
        <v>728461.8542</v>
      </c>
      <c r="M46" s="117">
        <f t="shared" si="39"/>
        <v>750315.7098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116" t="s">
        <v>144</v>
      </c>
      <c r="D47" s="117">
        <f t="shared" ref="D47:M47" si="40">D12-D46</f>
        <v>266803.39</v>
      </c>
      <c r="E47" s="117">
        <f t="shared" si="40"/>
        <v>257652.23</v>
      </c>
      <c r="F47" s="117">
        <f t="shared" si="40"/>
        <v>299763.21</v>
      </c>
      <c r="G47" s="117">
        <f t="shared" si="40"/>
        <v>68642.42</v>
      </c>
      <c r="H47" s="117">
        <f t="shared" si="40"/>
        <v>274569.68</v>
      </c>
      <c r="I47" s="117">
        <f t="shared" si="40"/>
        <v>449854.21</v>
      </c>
      <c r="J47" s="117">
        <f t="shared" si="40"/>
        <v>464974.8363</v>
      </c>
      <c r="K47" s="117">
        <f t="shared" si="40"/>
        <v>480889.0814</v>
      </c>
      <c r="L47" s="117">
        <f t="shared" si="40"/>
        <v>497688.7538</v>
      </c>
      <c r="M47" s="117">
        <f t="shared" si="40"/>
        <v>515482.0164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5.25" customHeight="1">
      <c r="C48" s="120"/>
      <c r="D48" s="84"/>
      <c r="E48" s="84"/>
      <c r="F48" s="84"/>
      <c r="G48" s="84"/>
      <c r="H48" s="84"/>
      <c r="I48" s="84"/>
      <c r="J48" s="84"/>
      <c r="K48" s="84"/>
      <c r="L48" s="84"/>
      <c r="M48" s="8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25.88"/>
    <col customWidth="1" min="4" max="8" width="12.38"/>
    <col customWidth="1" min="9" max="10" width="23.5"/>
    <col customWidth="1" min="11" max="13" width="12.5"/>
    <col customWidth="1" min="14" max="14" width="17.25"/>
    <col customWidth="1" min="15" max="15" width="15.88"/>
    <col customWidth="1" min="16" max="29" width="12.5"/>
  </cols>
  <sheetData>
    <row r="1" ht="9.75" customHeight="1"/>
    <row r="2" ht="15.75" customHeight="1">
      <c r="C2" s="147" t="s">
        <v>157</v>
      </c>
      <c r="D2" s="65"/>
      <c r="E2" s="65"/>
      <c r="F2" s="65"/>
      <c r="I2" s="33"/>
      <c r="J2" s="148" t="s">
        <v>158</v>
      </c>
      <c r="K2" s="149"/>
      <c r="L2" s="149"/>
      <c r="M2" s="150"/>
      <c r="N2" s="33"/>
      <c r="O2" s="33"/>
    </row>
    <row r="3" ht="15.75" customHeight="1">
      <c r="C3" s="66"/>
      <c r="I3" s="33"/>
      <c r="J3" s="33"/>
      <c r="K3" s="33"/>
      <c r="L3" s="33"/>
      <c r="M3" s="33"/>
      <c r="N3" s="33"/>
      <c r="O3" s="33"/>
    </row>
    <row r="4" ht="15.75" customHeight="1">
      <c r="C4" s="151"/>
      <c r="D4" s="151" t="s">
        <v>8</v>
      </c>
      <c r="E4" s="151" t="s">
        <v>9</v>
      </c>
      <c r="F4" s="151" t="s">
        <v>10</v>
      </c>
      <c r="G4" s="151" t="s">
        <v>11</v>
      </c>
      <c r="H4" s="151" t="s">
        <v>12</v>
      </c>
      <c r="I4" s="33"/>
      <c r="J4" s="151"/>
      <c r="K4" s="151">
        <f>Proforma!D4</f>
        <v>2022</v>
      </c>
      <c r="L4" s="151">
        <f>Proforma!E4</f>
        <v>2023</v>
      </c>
      <c r="M4" s="151">
        <f>Proforma!F4</f>
        <v>2024</v>
      </c>
      <c r="N4" s="151" t="str">
        <f>Proforma!G4</f>
        <v>2025 YTD (Sept)</v>
      </c>
      <c r="O4" s="151">
        <f>Proforma!H4</f>
        <v>2025</v>
      </c>
    </row>
    <row r="5" ht="15.75" hidden="1" customHeight="1">
      <c r="C5" s="152" t="s">
        <v>159</v>
      </c>
      <c r="D5" s="153">
        <f>166554.6*12</f>
        <v>1998655.2</v>
      </c>
      <c r="E5" s="153">
        <f t="shared" ref="E5:F5" si="1">D5*1.03</f>
        <v>2058614.856</v>
      </c>
      <c r="F5" s="154">
        <f t="shared" si="1"/>
        <v>2120373.302</v>
      </c>
      <c r="G5" s="33"/>
      <c r="H5" s="33"/>
      <c r="I5" s="33"/>
      <c r="J5" s="155"/>
      <c r="K5" s="155"/>
      <c r="L5" s="155"/>
      <c r="M5" s="155"/>
      <c r="N5" s="33"/>
      <c r="O5" s="33"/>
    </row>
    <row r="6" ht="15.75" hidden="1" customHeight="1">
      <c r="C6" s="150" t="s">
        <v>160</v>
      </c>
      <c r="D6" s="156">
        <f t="shared" ref="D6:F6" si="2">D5*-0.086</f>
        <v>-171884.3472</v>
      </c>
      <c r="E6" s="156">
        <f t="shared" si="2"/>
        <v>-177040.8776</v>
      </c>
      <c r="F6" s="156">
        <f t="shared" si="2"/>
        <v>-182352.1039</v>
      </c>
      <c r="G6" s="33"/>
      <c r="H6" s="33"/>
      <c r="I6" s="33"/>
      <c r="J6" s="155"/>
      <c r="K6" s="155"/>
      <c r="L6" s="155"/>
      <c r="M6" s="155"/>
      <c r="N6" s="33"/>
      <c r="O6" s="33"/>
    </row>
    <row r="7" ht="15.75" hidden="1" customHeight="1">
      <c r="C7" s="150" t="s">
        <v>107</v>
      </c>
      <c r="D7" s="156">
        <f t="shared" ref="D7:F7" si="3">2842.28*12</f>
        <v>34107.36</v>
      </c>
      <c r="E7" s="156">
        <f t="shared" si="3"/>
        <v>34107.36</v>
      </c>
      <c r="F7" s="156">
        <f t="shared" si="3"/>
        <v>34107.36</v>
      </c>
      <c r="G7" s="33"/>
      <c r="H7" s="33"/>
      <c r="I7" s="33"/>
      <c r="J7" s="155"/>
      <c r="K7" s="155"/>
      <c r="L7" s="155"/>
      <c r="M7" s="155"/>
      <c r="N7" s="33"/>
      <c r="O7" s="33"/>
    </row>
    <row r="8" ht="15.75" customHeight="1">
      <c r="C8" s="150" t="s">
        <v>161</v>
      </c>
      <c r="D8" s="156">
        <f>Proforma!I12</f>
        <v>1627500</v>
      </c>
      <c r="E8" s="156">
        <f>Proforma!J12</f>
        <v>1676325</v>
      </c>
      <c r="F8" s="156">
        <f>Proforma!K12</f>
        <v>1726614.75</v>
      </c>
      <c r="G8" s="156">
        <f>Proforma!L12</f>
        <v>1778413.193</v>
      </c>
      <c r="H8" s="156">
        <f>Proforma!M12</f>
        <v>1831765.588</v>
      </c>
      <c r="I8" s="33"/>
      <c r="J8" s="157" t="str">
        <f t="shared" ref="J8:J9" si="4">C8</f>
        <v>Effective Gross Income</v>
      </c>
      <c r="K8" s="155">
        <f>Proforma!D12</f>
        <v>0</v>
      </c>
      <c r="L8" s="155">
        <f>Proforma!E12</f>
        <v>1515350.38</v>
      </c>
      <c r="M8" s="155">
        <f>Proforma!F12</f>
        <v>1454220.36</v>
      </c>
      <c r="N8" s="155">
        <f>Proforma!G12</f>
        <v>1173653.13</v>
      </c>
      <c r="O8" s="155">
        <f>Proforma!H12</f>
        <v>1591068.2</v>
      </c>
    </row>
    <row r="9" ht="15.75" customHeight="1">
      <c r="C9" s="150" t="s">
        <v>111</v>
      </c>
      <c r="D9" s="156">
        <f>Proforma!I46</f>
        <v>1095845</v>
      </c>
      <c r="E9" s="156">
        <f>Proforma!J46</f>
        <v>1128720.35</v>
      </c>
      <c r="F9" s="156">
        <f>Proforma!K46</f>
        <v>1162581.961</v>
      </c>
      <c r="G9" s="156">
        <f>Proforma!L46</f>
        <v>1197459.419</v>
      </c>
      <c r="H9" s="156">
        <f>Proforma!M46</f>
        <v>1233383.202</v>
      </c>
      <c r="I9" s="33"/>
      <c r="J9" s="155" t="str">
        <f t="shared" si="4"/>
        <v>Expenses</v>
      </c>
      <c r="K9" s="155">
        <f>Proforma!D46</f>
        <v>0</v>
      </c>
      <c r="L9" s="155">
        <f>Proforma!E46</f>
        <v>1236849.18</v>
      </c>
      <c r="M9" s="155">
        <f>Proforma!F46</f>
        <v>1142114.18</v>
      </c>
      <c r="N9" s="155">
        <f>Proforma!G46</f>
        <v>917971.87</v>
      </c>
      <c r="O9" s="155">
        <f>Proforma!H46</f>
        <v>1264735.34</v>
      </c>
    </row>
    <row r="10" ht="6.0" customHeight="1">
      <c r="C10" s="150"/>
      <c r="D10" s="155"/>
      <c r="E10" s="155"/>
      <c r="F10" s="155"/>
      <c r="G10" s="155"/>
      <c r="H10" s="155"/>
      <c r="I10" s="33"/>
      <c r="J10" s="155"/>
      <c r="K10" s="155"/>
      <c r="L10" s="155"/>
      <c r="M10" s="155"/>
      <c r="N10" s="155"/>
      <c r="O10" s="155"/>
    </row>
    <row r="11" ht="15.75" customHeight="1">
      <c r="C11" s="158" t="s">
        <v>144</v>
      </c>
      <c r="D11" s="159">
        <f t="shared" ref="D11:H11" si="5">D8-D9</f>
        <v>531655</v>
      </c>
      <c r="E11" s="159">
        <f t="shared" si="5"/>
        <v>547604.65</v>
      </c>
      <c r="F11" s="159">
        <f t="shared" si="5"/>
        <v>564032.7895</v>
      </c>
      <c r="G11" s="159">
        <f t="shared" si="5"/>
        <v>580953.7732</v>
      </c>
      <c r="H11" s="159">
        <f t="shared" si="5"/>
        <v>598382.3864</v>
      </c>
      <c r="I11" s="33"/>
      <c r="J11" s="160" t="str">
        <f>C11</f>
        <v>Net Operating Income</v>
      </c>
      <c r="K11" s="160">
        <f t="shared" ref="K11:O11" si="6">K8-K9</f>
        <v>0</v>
      </c>
      <c r="L11" s="160">
        <f t="shared" si="6"/>
        <v>278501.2</v>
      </c>
      <c r="M11" s="160">
        <f t="shared" si="6"/>
        <v>312106.18</v>
      </c>
      <c r="N11" s="160">
        <f t="shared" si="6"/>
        <v>255681.26</v>
      </c>
      <c r="O11" s="160">
        <f t="shared" si="6"/>
        <v>326332.86</v>
      </c>
    </row>
    <row r="12" ht="5.25" customHeight="1">
      <c r="G12" s="15"/>
      <c r="I12" s="33"/>
      <c r="J12" s="33"/>
      <c r="K12" s="155"/>
      <c r="L12" s="155"/>
      <c r="M12" s="155"/>
      <c r="N12" s="33"/>
      <c r="O12" s="33"/>
    </row>
    <row r="13" ht="15.75" customHeight="1">
      <c r="G13" s="15"/>
      <c r="J13" s="161" t="s">
        <v>162</v>
      </c>
      <c r="K13" s="162"/>
      <c r="L13" s="163"/>
      <c r="M13" s="163"/>
      <c r="N13" s="163"/>
      <c r="O13" s="164"/>
    </row>
    <row r="14" ht="15.75" customHeight="1">
      <c r="G14" s="15"/>
      <c r="J14" s="165" t="s">
        <v>163</v>
      </c>
      <c r="K14" s="157"/>
      <c r="L14" s="157"/>
      <c r="M14" s="157"/>
      <c r="N14" s="157"/>
      <c r="O14" s="166"/>
    </row>
    <row r="15" ht="15.75" customHeight="1">
      <c r="G15" s="15"/>
      <c r="H15" s="15"/>
      <c r="J15" s="167" t="s">
        <v>164</v>
      </c>
      <c r="K15" s="157"/>
      <c r="L15" s="157"/>
      <c r="M15" s="157"/>
      <c r="N15" s="157"/>
      <c r="O15" s="168"/>
    </row>
    <row r="16" ht="15.75" customHeight="1">
      <c r="G16" s="15"/>
      <c r="H16" s="15"/>
      <c r="J16" s="167" t="s">
        <v>165</v>
      </c>
      <c r="K16" s="157"/>
      <c r="L16" s="157"/>
      <c r="M16" s="157"/>
      <c r="N16" s="157"/>
      <c r="O16" s="169"/>
    </row>
    <row r="17" ht="15.75" customHeight="1">
      <c r="G17" s="15"/>
      <c r="H17" s="15"/>
      <c r="J17" s="167" t="s">
        <v>166</v>
      </c>
      <c r="K17" s="157"/>
      <c r="L17" s="157"/>
      <c r="M17" s="157"/>
      <c r="N17" s="157"/>
      <c r="O17" s="169"/>
    </row>
    <row r="18" ht="15.75" customHeight="1">
      <c r="G18" s="15"/>
      <c r="H18" s="15"/>
      <c r="J18" s="167" t="s">
        <v>167</v>
      </c>
      <c r="K18" s="157"/>
      <c r="L18" s="157"/>
      <c r="M18" s="157"/>
      <c r="N18" s="157"/>
      <c r="O18" s="169"/>
    </row>
    <row r="19" ht="15.75" customHeight="1">
      <c r="G19" s="15"/>
      <c r="H19" s="15"/>
      <c r="J19" s="167" t="s">
        <v>168</v>
      </c>
      <c r="K19" s="157"/>
      <c r="L19" s="157"/>
      <c r="M19" s="157"/>
      <c r="N19" s="157"/>
      <c r="O19" s="169"/>
    </row>
    <row r="20" ht="15.75" customHeight="1">
      <c r="G20" s="15"/>
      <c r="H20" s="15"/>
      <c r="J20" s="167" t="s">
        <v>169</v>
      </c>
      <c r="K20" s="157"/>
      <c r="L20" s="157"/>
      <c r="M20" s="157"/>
      <c r="N20" s="157"/>
      <c r="O20" s="169"/>
    </row>
    <row r="21" ht="15.75" customHeight="1">
      <c r="G21" s="15"/>
      <c r="H21" s="15"/>
      <c r="J21" s="170" t="s">
        <v>170</v>
      </c>
      <c r="K21" s="171"/>
      <c r="L21" s="171"/>
      <c r="M21" s="171"/>
      <c r="N21" s="171"/>
      <c r="O21" s="172"/>
    </row>
    <row r="22" ht="15.75" customHeight="1">
      <c r="G22" s="15"/>
      <c r="H22" s="15"/>
      <c r="I22" s="150"/>
      <c r="J22" s="150"/>
      <c r="K22" s="157"/>
      <c r="L22" s="157"/>
      <c r="M22" s="157"/>
      <c r="N22" s="157"/>
      <c r="O22" s="150"/>
    </row>
    <row r="23" ht="15.75" customHeight="1">
      <c r="G23" s="15"/>
      <c r="H23" s="15"/>
      <c r="I23" s="150"/>
      <c r="J23" s="150"/>
      <c r="K23" s="157"/>
      <c r="L23" s="157"/>
      <c r="M23" s="157"/>
      <c r="N23" s="157"/>
      <c r="O23" s="150"/>
    </row>
    <row r="24" ht="15.75" customHeight="1">
      <c r="I24" s="33"/>
      <c r="J24" s="155"/>
      <c r="K24" s="155"/>
      <c r="L24" s="155"/>
      <c r="M24" s="33"/>
      <c r="N24" s="33"/>
      <c r="O24" s="33"/>
    </row>
    <row r="25" ht="15.75" customHeight="1"/>
    <row r="26" ht="15.75" customHeight="1">
      <c r="K26" s="114"/>
      <c r="L26" s="114"/>
      <c r="M26" s="1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75"/>
    <col customWidth="1" min="3" max="3" width="11.5"/>
    <col customWidth="1" min="4" max="4" width="8.63"/>
    <col customWidth="1" min="5" max="5" width="35.75"/>
    <col customWidth="1" min="6" max="26" width="8.63"/>
  </cols>
  <sheetData>
    <row r="1" ht="12.0" customHeight="1">
      <c r="A1" s="33"/>
      <c r="B1" s="33"/>
      <c r="C1" s="173"/>
      <c r="D1" s="33" t="s">
        <v>171</v>
      </c>
      <c r="E1" s="33" t="s">
        <v>172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2.0" customHeight="1">
      <c r="A2" s="33" t="s">
        <v>173</v>
      </c>
      <c r="B2" s="33" t="s">
        <v>174</v>
      </c>
      <c r="C2" s="17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2.0" customHeight="1">
      <c r="A3" s="33" t="s">
        <v>175</v>
      </c>
      <c r="B3" s="33"/>
      <c r="C3" s="17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2.0" customHeight="1">
      <c r="A4" s="33" t="s">
        <v>176</v>
      </c>
      <c r="B4" s="33"/>
      <c r="C4" s="17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2.0" customHeight="1">
      <c r="A5" s="33" t="s">
        <v>177</v>
      </c>
      <c r="B5" s="33"/>
      <c r="C5" s="17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2.0" customHeight="1">
      <c r="A6" s="33"/>
      <c r="B6" s="33"/>
      <c r="C6" s="17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2.0" customHeight="1">
      <c r="A7" s="33"/>
      <c r="B7" s="33"/>
      <c r="C7" s="17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2.0" customHeight="1">
      <c r="A8" s="33"/>
      <c r="B8" s="33"/>
      <c r="C8" s="17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2.0" customHeight="1">
      <c r="A9" s="33"/>
      <c r="B9" s="33"/>
      <c r="C9" s="17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0" customHeight="1">
      <c r="A10" s="33"/>
      <c r="B10" s="33"/>
      <c r="C10" s="17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2.0" customHeight="1">
      <c r="A11" s="33"/>
      <c r="B11" s="33"/>
      <c r="C11" s="17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2.0" customHeight="1">
      <c r="A12" s="33"/>
      <c r="B12" s="33"/>
      <c r="C12" s="17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2.0" customHeight="1">
      <c r="A13" s="33"/>
      <c r="B13" s="33"/>
      <c r="C13" s="17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2.0" customHeight="1">
      <c r="A14" s="33"/>
      <c r="B14" s="33"/>
      <c r="C14" s="17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2.0" customHeight="1">
      <c r="A15" s="33"/>
      <c r="B15" s="33"/>
      <c r="C15" s="17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0" customHeight="1">
      <c r="A16" s="33"/>
      <c r="B16" s="33"/>
      <c r="C16" s="17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2.0" customHeight="1">
      <c r="A17" s="33"/>
      <c r="B17" s="33"/>
      <c r="C17" s="17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2.0" customHeight="1">
      <c r="A18" s="33"/>
      <c r="B18" s="33"/>
      <c r="C18" s="17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2.0" customHeight="1">
      <c r="A19" s="33"/>
      <c r="B19" s="33"/>
      <c r="C19" s="17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2.0" customHeight="1">
      <c r="A20" s="33"/>
      <c r="B20" s="33"/>
      <c r="C20" s="17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2.0" customHeight="1">
      <c r="A21" s="33"/>
      <c r="B21" s="33"/>
      <c r="C21" s="17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0" customHeight="1">
      <c r="A22" s="33"/>
      <c r="B22" s="33"/>
      <c r="C22" s="17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0" customHeight="1">
      <c r="A23" s="33"/>
      <c r="B23" s="33"/>
      <c r="C23" s="17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0" customHeight="1">
      <c r="A24" s="33"/>
      <c r="B24" s="33"/>
      <c r="C24" s="17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0" customHeight="1">
      <c r="A25" s="33"/>
      <c r="B25" s="33"/>
      <c r="C25" s="17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0" customHeight="1">
      <c r="A26" s="33"/>
      <c r="B26" s="33"/>
      <c r="C26" s="17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0" customHeight="1">
      <c r="A27" s="33"/>
      <c r="B27" s="33"/>
      <c r="C27" s="17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2.0" customHeight="1">
      <c r="A28" s="33"/>
      <c r="B28" s="33"/>
      <c r="C28" s="17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2.0" customHeight="1">
      <c r="A29" s="33"/>
      <c r="B29" s="33"/>
      <c r="C29" s="17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2.0" customHeight="1">
      <c r="A30" s="33"/>
      <c r="B30" s="33"/>
      <c r="C30" s="17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2.0" customHeight="1">
      <c r="A31" s="33"/>
      <c r="B31" s="33"/>
      <c r="C31" s="17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0" customHeight="1">
      <c r="A32" s="33"/>
      <c r="B32" s="33"/>
      <c r="C32" s="17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0" customHeight="1">
      <c r="A33" s="33"/>
      <c r="B33" s="33"/>
      <c r="C33" s="17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0" customHeight="1">
      <c r="A34" s="33"/>
      <c r="B34" s="33"/>
      <c r="C34" s="17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2.0" customHeight="1">
      <c r="A35" s="33"/>
      <c r="B35" s="33"/>
      <c r="C35" s="17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2.0" customHeight="1">
      <c r="A36" s="33"/>
      <c r="B36" s="33"/>
      <c r="C36" s="17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2.0" customHeight="1">
      <c r="A37" s="33"/>
      <c r="B37" s="33"/>
      <c r="C37" s="17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2.0" customHeight="1">
      <c r="A38" s="33"/>
      <c r="B38" s="33"/>
      <c r="C38" s="17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2.0" customHeight="1">
      <c r="A39" s="33"/>
      <c r="B39" s="33"/>
      <c r="C39" s="17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2.0" customHeight="1">
      <c r="A40" s="33"/>
      <c r="B40" s="33"/>
      <c r="C40" s="17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2.0" customHeight="1">
      <c r="A41" s="33"/>
      <c r="B41" s="33"/>
      <c r="C41" s="17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2.0" customHeight="1">
      <c r="A42" s="33"/>
      <c r="B42" s="33"/>
      <c r="C42" s="17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2.0" customHeight="1">
      <c r="A43" s="33"/>
      <c r="B43" s="33"/>
      <c r="C43" s="17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2.0" customHeight="1">
      <c r="A44" s="33"/>
      <c r="B44" s="33"/>
      <c r="C44" s="17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2.0" customHeight="1">
      <c r="A45" s="33"/>
      <c r="B45" s="33"/>
      <c r="C45" s="17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2.0" customHeight="1">
      <c r="A46" s="33"/>
      <c r="B46" s="33"/>
      <c r="C46" s="17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2.0" customHeight="1">
      <c r="A47" s="33"/>
      <c r="B47" s="33"/>
      <c r="C47" s="17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2.0" customHeight="1">
      <c r="A48" s="33"/>
      <c r="B48" s="33"/>
      <c r="C48" s="17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2.0" customHeight="1">
      <c r="A49" s="33"/>
      <c r="B49" s="33"/>
      <c r="C49" s="17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2.0" customHeight="1">
      <c r="A50" s="33"/>
      <c r="B50" s="33"/>
      <c r="C50" s="17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2.0" customHeight="1">
      <c r="A51" s="33"/>
      <c r="B51" s="33"/>
      <c r="C51" s="17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2.0" customHeight="1">
      <c r="A52" s="33"/>
      <c r="B52" s="33"/>
      <c r="C52" s="17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2.0" customHeight="1">
      <c r="A53" s="33"/>
      <c r="B53" s="33"/>
      <c r="C53" s="17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2.0" customHeight="1">
      <c r="A54" s="33"/>
      <c r="B54" s="33"/>
      <c r="C54" s="17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2.0" customHeight="1">
      <c r="A55" s="33"/>
      <c r="B55" s="33"/>
      <c r="C55" s="17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2.0" customHeight="1">
      <c r="A56" s="33"/>
      <c r="B56" s="33"/>
      <c r="C56" s="17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2.0" customHeight="1">
      <c r="A57" s="33"/>
      <c r="B57" s="33"/>
      <c r="C57" s="17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2.0" customHeight="1">
      <c r="A58" s="33"/>
      <c r="B58" s="33"/>
      <c r="C58" s="17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2.0" customHeight="1">
      <c r="A59" s="33"/>
      <c r="B59" s="33"/>
      <c r="C59" s="17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2.0" customHeight="1">
      <c r="A60" s="33"/>
      <c r="B60" s="33"/>
      <c r="C60" s="17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2.0" customHeight="1">
      <c r="A61" s="33"/>
      <c r="B61" s="33"/>
      <c r="C61" s="17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2.0" customHeight="1">
      <c r="A62" s="33"/>
      <c r="B62" s="33"/>
      <c r="C62" s="17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2.0" customHeight="1">
      <c r="A63" s="33"/>
      <c r="B63" s="33"/>
      <c r="C63" s="17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2.0" customHeight="1">
      <c r="A64" s="33"/>
      <c r="B64" s="33"/>
      <c r="C64" s="17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2.0" customHeight="1">
      <c r="A65" s="33"/>
      <c r="B65" s="33"/>
      <c r="C65" s="17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2.0" customHeight="1">
      <c r="A66" s="33"/>
      <c r="B66" s="33"/>
      <c r="C66" s="17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2.0" customHeight="1">
      <c r="A67" s="33"/>
      <c r="B67" s="33"/>
      <c r="C67" s="17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2.0" customHeight="1">
      <c r="A68" s="33"/>
      <c r="B68" s="33"/>
      <c r="C68" s="17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2.0" customHeight="1">
      <c r="A69" s="33"/>
      <c r="B69" s="33"/>
      <c r="C69" s="17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2.0" customHeight="1">
      <c r="A70" s="33"/>
      <c r="B70" s="33"/>
      <c r="C70" s="17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2.0" customHeight="1">
      <c r="A71" s="33"/>
      <c r="B71" s="33"/>
      <c r="C71" s="17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2.0" customHeight="1">
      <c r="A72" s="33"/>
      <c r="B72" s="33"/>
      <c r="C72" s="17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2.0" customHeight="1">
      <c r="A73" s="33"/>
      <c r="B73" s="33"/>
      <c r="C73" s="17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2.0" customHeight="1">
      <c r="A74" s="33"/>
      <c r="B74" s="33"/>
      <c r="C74" s="17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2.0" customHeight="1">
      <c r="A75" s="33"/>
      <c r="B75" s="33"/>
      <c r="C75" s="17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2.0" customHeight="1">
      <c r="A76" s="33"/>
      <c r="B76" s="33"/>
      <c r="C76" s="17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2.0" customHeight="1">
      <c r="A77" s="33"/>
      <c r="B77" s="33"/>
      <c r="C77" s="17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2.0" customHeight="1">
      <c r="A78" s="33"/>
      <c r="B78" s="33"/>
      <c r="C78" s="17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2.0" customHeight="1">
      <c r="A79" s="33"/>
      <c r="B79" s="33"/>
      <c r="C79" s="17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2.0" customHeight="1">
      <c r="A80" s="33"/>
      <c r="B80" s="33"/>
      <c r="C80" s="17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2.0" customHeight="1">
      <c r="A81" s="33"/>
      <c r="B81" s="33"/>
      <c r="C81" s="17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2.0" customHeight="1">
      <c r="A82" s="33"/>
      <c r="B82" s="33"/>
      <c r="C82" s="17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2.0" customHeight="1">
      <c r="A83" s="33"/>
      <c r="B83" s="33"/>
      <c r="C83" s="17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2.0" customHeight="1">
      <c r="A84" s="33"/>
      <c r="B84" s="33"/>
      <c r="C84" s="17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2.0" customHeight="1">
      <c r="A85" s="33"/>
      <c r="B85" s="33"/>
      <c r="C85" s="17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2.0" customHeight="1">
      <c r="A86" s="33"/>
      <c r="B86" s="33"/>
      <c r="C86" s="17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2.0" customHeight="1">
      <c r="A87" s="33"/>
      <c r="B87" s="33"/>
      <c r="C87" s="17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2.0" customHeight="1">
      <c r="A88" s="33"/>
      <c r="B88" s="33"/>
      <c r="C88" s="17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2.0" customHeight="1">
      <c r="A89" s="33"/>
      <c r="B89" s="33"/>
      <c r="C89" s="17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2.0" customHeight="1">
      <c r="A90" s="33"/>
      <c r="B90" s="33"/>
      <c r="C90" s="17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2.0" customHeight="1">
      <c r="A91" s="33"/>
      <c r="B91" s="33"/>
      <c r="C91" s="17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2.0" customHeight="1">
      <c r="A92" s="33"/>
      <c r="B92" s="33"/>
      <c r="C92" s="17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2.0" customHeight="1">
      <c r="A93" s="33"/>
      <c r="B93" s="33"/>
      <c r="C93" s="17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2.0" customHeight="1">
      <c r="A94" s="33"/>
      <c r="B94" s="33"/>
      <c r="C94" s="17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2.0" customHeight="1">
      <c r="A95" s="33"/>
      <c r="B95" s="33"/>
      <c r="C95" s="17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2.0" customHeight="1">
      <c r="A96" s="33"/>
      <c r="B96" s="33"/>
      <c r="C96" s="17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2.0" customHeight="1">
      <c r="A97" s="33"/>
      <c r="B97" s="33"/>
      <c r="C97" s="17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2.0" customHeight="1">
      <c r="A98" s="33"/>
      <c r="B98" s="33"/>
      <c r="C98" s="17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2.0" customHeight="1">
      <c r="A99" s="33"/>
      <c r="B99" s="33"/>
      <c r="C99" s="17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2.0" customHeight="1">
      <c r="A100" s="33"/>
      <c r="B100" s="33"/>
      <c r="C100" s="17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2.0" customHeight="1">
      <c r="A101" s="33"/>
      <c r="B101" s="33"/>
      <c r="C101" s="17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2.0" customHeight="1">
      <c r="A102" s="33"/>
      <c r="B102" s="33"/>
      <c r="C102" s="17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2.0" customHeight="1">
      <c r="A103" s="33"/>
      <c r="B103" s="33"/>
      <c r="C103" s="17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2.0" customHeight="1">
      <c r="A104" s="33"/>
      <c r="B104" s="33"/>
      <c r="C104" s="17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2.0" customHeight="1">
      <c r="A105" s="33"/>
      <c r="B105" s="33"/>
      <c r="C105" s="17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2.0" customHeight="1">
      <c r="A106" s="33"/>
      <c r="B106" s="33"/>
      <c r="C106" s="17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2.0" customHeight="1">
      <c r="A107" s="33"/>
      <c r="B107" s="33"/>
      <c r="C107" s="17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2.0" customHeight="1">
      <c r="A108" s="33"/>
      <c r="B108" s="33"/>
      <c r="C108" s="17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2.0" customHeight="1">
      <c r="A109" s="33"/>
      <c r="B109" s="33"/>
      <c r="C109" s="17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2.0" customHeight="1">
      <c r="A110" s="33"/>
      <c r="B110" s="33"/>
      <c r="C110" s="17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2.0" customHeight="1">
      <c r="A111" s="33"/>
      <c r="B111" s="33"/>
      <c r="C111" s="17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2.0" customHeight="1">
      <c r="A112" s="33"/>
      <c r="B112" s="33"/>
      <c r="C112" s="17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2.0" customHeight="1">
      <c r="A113" s="33"/>
      <c r="B113" s="33"/>
      <c r="C113" s="17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2.0" customHeight="1">
      <c r="A114" s="33"/>
      <c r="B114" s="33"/>
      <c r="C114" s="17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2.0" customHeight="1">
      <c r="A115" s="33"/>
      <c r="B115" s="33"/>
      <c r="C115" s="17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2.0" customHeight="1">
      <c r="A116" s="33"/>
      <c r="B116" s="33"/>
      <c r="C116" s="17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2.0" customHeight="1">
      <c r="A117" s="33"/>
      <c r="B117" s="33"/>
      <c r="C117" s="17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2.0" customHeight="1">
      <c r="A118" s="33"/>
      <c r="B118" s="33"/>
      <c r="C118" s="17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2.0" customHeight="1">
      <c r="A119" s="33"/>
      <c r="B119" s="33"/>
      <c r="C119" s="17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2.0" customHeight="1">
      <c r="A120" s="33"/>
      <c r="B120" s="33"/>
      <c r="C120" s="17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2.0" customHeight="1">
      <c r="A121" s="33"/>
      <c r="B121" s="33"/>
      <c r="C121" s="17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2.0" customHeight="1">
      <c r="A122" s="33"/>
      <c r="B122" s="33"/>
      <c r="C122" s="17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2.0" customHeight="1">
      <c r="A123" s="33"/>
      <c r="B123" s="33"/>
      <c r="C123" s="17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2.0" customHeight="1">
      <c r="A124" s="33"/>
      <c r="B124" s="33"/>
      <c r="C124" s="17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2.0" customHeight="1">
      <c r="A125" s="33"/>
      <c r="B125" s="33"/>
      <c r="C125" s="17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2.0" customHeight="1">
      <c r="A126" s="33"/>
      <c r="B126" s="33"/>
      <c r="C126" s="17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2.0" customHeight="1">
      <c r="A127" s="33"/>
      <c r="B127" s="33"/>
      <c r="C127" s="17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2.0" customHeight="1">
      <c r="A128" s="33"/>
      <c r="B128" s="33"/>
      <c r="C128" s="17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2.0" customHeight="1">
      <c r="A129" s="33"/>
      <c r="B129" s="33"/>
      <c r="C129" s="17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2.0" customHeight="1">
      <c r="A130" s="33"/>
      <c r="B130" s="33"/>
      <c r="C130" s="17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2.0" customHeight="1">
      <c r="A131" s="33"/>
      <c r="B131" s="33"/>
      <c r="C131" s="17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2.0" customHeight="1">
      <c r="A132" s="33"/>
      <c r="B132" s="33"/>
      <c r="C132" s="17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2.0" customHeight="1">
      <c r="A133" s="33"/>
      <c r="B133" s="33"/>
      <c r="C133" s="17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2.0" customHeight="1">
      <c r="A134" s="33"/>
      <c r="B134" s="33"/>
      <c r="C134" s="17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2.0" customHeight="1">
      <c r="A135" s="33"/>
      <c r="B135" s="33"/>
      <c r="C135" s="17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2.0" customHeight="1">
      <c r="A136" s="33"/>
      <c r="B136" s="33"/>
      <c r="C136" s="17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2.0" customHeight="1">
      <c r="A137" s="33"/>
      <c r="B137" s="33"/>
      <c r="C137" s="17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2.0" customHeight="1">
      <c r="A138" s="33"/>
      <c r="B138" s="33"/>
      <c r="C138" s="17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2.0" customHeight="1">
      <c r="A139" s="33"/>
      <c r="B139" s="33"/>
      <c r="C139" s="17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2.0" customHeight="1">
      <c r="A140" s="33"/>
      <c r="B140" s="33"/>
      <c r="C140" s="17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2.0" customHeight="1">
      <c r="A141" s="33"/>
      <c r="B141" s="33"/>
      <c r="C141" s="17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2.0" customHeight="1">
      <c r="A142" s="33"/>
      <c r="B142" s="33"/>
      <c r="C142" s="17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2.0" customHeight="1">
      <c r="A143" s="33"/>
      <c r="B143" s="33"/>
      <c r="C143" s="17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2.0" customHeight="1">
      <c r="A144" s="33"/>
      <c r="B144" s="33"/>
      <c r="C144" s="17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2.0" customHeight="1">
      <c r="A145" s="33"/>
      <c r="B145" s="33"/>
      <c r="C145" s="17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2.0" customHeight="1">
      <c r="A146" s="33"/>
      <c r="B146" s="33"/>
      <c r="C146" s="17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2.0" customHeight="1">
      <c r="A147" s="33"/>
      <c r="B147" s="33"/>
      <c r="C147" s="17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2.0" customHeight="1">
      <c r="A148" s="33"/>
      <c r="B148" s="33"/>
      <c r="C148" s="17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2.0" customHeight="1">
      <c r="A149" s="33"/>
      <c r="B149" s="33"/>
      <c r="C149" s="17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2.0" customHeight="1">
      <c r="A150" s="33"/>
      <c r="B150" s="33"/>
      <c r="C150" s="17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2.0" customHeight="1">
      <c r="A151" s="33"/>
      <c r="B151" s="33"/>
      <c r="C151" s="17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2.0" customHeight="1">
      <c r="A152" s="33"/>
      <c r="B152" s="33"/>
      <c r="C152" s="17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2.0" customHeight="1">
      <c r="A153" s="33"/>
      <c r="B153" s="33"/>
      <c r="C153" s="17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2.0" customHeight="1">
      <c r="A154" s="33"/>
      <c r="B154" s="33"/>
      <c r="C154" s="17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2.0" customHeight="1">
      <c r="A155" s="33"/>
      <c r="B155" s="33"/>
      <c r="C155" s="17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2.0" customHeight="1">
      <c r="A156" s="33"/>
      <c r="B156" s="33"/>
      <c r="C156" s="17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2.0" customHeight="1">
      <c r="A157" s="33"/>
      <c r="B157" s="33"/>
      <c r="C157" s="17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2.0" customHeight="1">
      <c r="A158" s="33"/>
      <c r="B158" s="33"/>
      <c r="C158" s="17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2.0" customHeight="1">
      <c r="A159" s="33"/>
      <c r="B159" s="33"/>
      <c r="C159" s="17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2.0" customHeight="1">
      <c r="A160" s="33"/>
      <c r="B160" s="33"/>
      <c r="C160" s="17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2.0" customHeight="1">
      <c r="A161" s="33"/>
      <c r="B161" s="33"/>
      <c r="C161" s="17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2.0" customHeight="1">
      <c r="A162" s="33"/>
      <c r="B162" s="33"/>
      <c r="C162" s="17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2.0" customHeight="1">
      <c r="A163" s="33"/>
      <c r="B163" s="33"/>
      <c r="C163" s="17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2.0" customHeight="1">
      <c r="A164" s="33"/>
      <c r="B164" s="33"/>
      <c r="C164" s="17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2.0" customHeight="1">
      <c r="A165" s="33"/>
      <c r="B165" s="33"/>
      <c r="C165" s="17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2.0" customHeight="1">
      <c r="A166" s="33"/>
      <c r="B166" s="33"/>
      <c r="C166" s="17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2.0" customHeight="1">
      <c r="A167" s="33"/>
      <c r="B167" s="33"/>
      <c r="C167" s="17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2.0" customHeight="1">
      <c r="A168" s="33"/>
      <c r="B168" s="33"/>
      <c r="C168" s="17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2.0" customHeight="1">
      <c r="A169" s="33"/>
      <c r="B169" s="33"/>
      <c r="C169" s="17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2.0" customHeight="1">
      <c r="A170" s="33"/>
      <c r="B170" s="33"/>
      <c r="C170" s="17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2.0" customHeight="1">
      <c r="A171" s="33"/>
      <c r="B171" s="33"/>
      <c r="C171" s="17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2.0" customHeight="1">
      <c r="A172" s="33"/>
      <c r="B172" s="33"/>
      <c r="C172" s="17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2.0" customHeight="1">
      <c r="A173" s="33"/>
      <c r="B173" s="33"/>
      <c r="C173" s="17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2.0" customHeight="1">
      <c r="A174" s="33"/>
      <c r="B174" s="33"/>
      <c r="C174" s="17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2.0" customHeight="1">
      <c r="A175" s="33"/>
      <c r="B175" s="33"/>
      <c r="C175" s="17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2.0" customHeight="1">
      <c r="A176" s="33"/>
      <c r="B176" s="33"/>
      <c r="C176" s="17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2.0" customHeight="1">
      <c r="A177" s="33"/>
      <c r="B177" s="33"/>
      <c r="C177" s="17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2.0" customHeight="1">
      <c r="A178" s="33"/>
      <c r="B178" s="33"/>
      <c r="C178" s="17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2.0" customHeight="1">
      <c r="A179" s="33"/>
      <c r="B179" s="33"/>
      <c r="C179" s="17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2.0" customHeight="1">
      <c r="A180" s="33"/>
      <c r="B180" s="33"/>
      <c r="C180" s="17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2.0" customHeight="1">
      <c r="A181" s="33"/>
      <c r="B181" s="33"/>
      <c r="C181" s="17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2.0" customHeight="1">
      <c r="A182" s="33"/>
      <c r="B182" s="33"/>
      <c r="C182" s="17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2.0" customHeight="1">
      <c r="A183" s="33"/>
      <c r="B183" s="33"/>
      <c r="C183" s="17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2.0" customHeight="1">
      <c r="A184" s="33"/>
      <c r="B184" s="33"/>
      <c r="C184" s="17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2.0" customHeight="1">
      <c r="A185" s="33"/>
      <c r="B185" s="33"/>
      <c r="C185" s="17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2.0" customHeight="1">
      <c r="A186" s="33"/>
      <c r="B186" s="33"/>
      <c r="C186" s="17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2.0" customHeight="1">
      <c r="A187" s="33"/>
      <c r="B187" s="33"/>
      <c r="C187" s="17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2.0" customHeight="1">
      <c r="A188" s="33"/>
      <c r="B188" s="33"/>
      <c r="C188" s="17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2.0" customHeight="1">
      <c r="A189" s="33"/>
      <c r="B189" s="33"/>
      <c r="C189" s="17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2.0" customHeight="1">
      <c r="A190" s="33"/>
      <c r="B190" s="33"/>
      <c r="C190" s="17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2.0" customHeight="1">
      <c r="A191" s="33"/>
      <c r="B191" s="33"/>
      <c r="C191" s="17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2.0" customHeight="1">
      <c r="A192" s="33"/>
      <c r="B192" s="33"/>
      <c r="C192" s="17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2.0" customHeight="1">
      <c r="A193" s="33"/>
      <c r="B193" s="33"/>
      <c r="C193" s="17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2.0" customHeight="1">
      <c r="A194" s="33"/>
      <c r="B194" s="33"/>
      <c r="C194" s="17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2.0" customHeight="1">
      <c r="A195" s="33"/>
      <c r="B195" s="33"/>
      <c r="C195" s="17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2.0" customHeight="1">
      <c r="A196" s="33"/>
      <c r="B196" s="33"/>
      <c r="C196" s="17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2.0" customHeight="1">
      <c r="A197" s="33"/>
      <c r="B197" s="33"/>
      <c r="C197" s="17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2.0" customHeight="1">
      <c r="A198" s="33"/>
      <c r="B198" s="33"/>
      <c r="C198" s="17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2.0" customHeight="1">
      <c r="A199" s="33"/>
      <c r="B199" s="33"/>
      <c r="C199" s="17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2.0" customHeight="1">
      <c r="A200" s="33"/>
      <c r="B200" s="33"/>
      <c r="C200" s="17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2.0" customHeight="1">
      <c r="A201" s="33"/>
      <c r="B201" s="33"/>
      <c r="C201" s="17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2.0" customHeight="1">
      <c r="A202" s="33"/>
      <c r="B202" s="33"/>
      <c r="C202" s="17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2.0" customHeight="1">
      <c r="A203" s="33"/>
      <c r="B203" s="33"/>
      <c r="C203" s="17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2.0" customHeight="1">
      <c r="A204" s="33"/>
      <c r="B204" s="33"/>
      <c r="C204" s="17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2.0" customHeight="1">
      <c r="A205" s="33"/>
      <c r="B205" s="33"/>
      <c r="C205" s="17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2.0" customHeight="1">
      <c r="A206" s="33"/>
      <c r="B206" s="33"/>
      <c r="C206" s="17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2.0" customHeight="1">
      <c r="A207" s="33"/>
      <c r="B207" s="33"/>
      <c r="C207" s="17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2.0" customHeight="1">
      <c r="A208" s="33"/>
      <c r="B208" s="33"/>
      <c r="C208" s="17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2.0" customHeight="1">
      <c r="A209" s="33"/>
      <c r="B209" s="33"/>
      <c r="C209" s="17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2.0" customHeight="1">
      <c r="A210" s="33"/>
      <c r="B210" s="33"/>
      <c r="C210" s="17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2.0" customHeight="1">
      <c r="A211" s="33"/>
      <c r="B211" s="33"/>
      <c r="C211" s="17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2.0" customHeight="1">
      <c r="A212" s="33"/>
      <c r="B212" s="33"/>
      <c r="C212" s="17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2.0" customHeight="1">
      <c r="A213" s="33"/>
      <c r="B213" s="33"/>
      <c r="C213" s="17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2.0" customHeight="1">
      <c r="A214" s="33"/>
      <c r="B214" s="33"/>
      <c r="C214" s="17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2.0" customHeight="1">
      <c r="A215" s="33"/>
      <c r="B215" s="33"/>
      <c r="C215" s="17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2.0" customHeight="1">
      <c r="A216" s="33"/>
      <c r="B216" s="33"/>
      <c r="C216" s="17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2.0" customHeight="1">
      <c r="A217" s="33"/>
      <c r="B217" s="33"/>
      <c r="C217" s="17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2.0" customHeight="1">
      <c r="A218" s="33"/>
      <c r="B218" s="33"/>
      <c r="C218" s="17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2.0" customHeight="1">
      <c r="A219" s="33"/>
      <c r="B219" s="33"/>
      <c r="C219" s="17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2.0" customHeight="1">
      <c r="A220" s="33"/>
      <c r="B220" s="33"/>
      <c r="C220" s="17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2.0" customHeight="1">
      <c r="A221" s="33"/>
      <c r="B221" s="33"/>
      <c r="C221" s="17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2.0" customHeight="1">
      <c r="A222" s="33"/>
      <c r="B222" s="33"/>
      <c r="C222" s="17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2.0" customHeight="1">
      <c r="A223" s="33"/>
      <c r="B223" s="33"/>
      <c r="C223" s="17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2.0" customHeight="1">
      <c r="A224" s="33"/>
      <c r="B224" s="33"/>
      <c r="C224" s="17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2.0" customHeight="1">
      <c r="A225" s="33"/>
      <c r="B225" s="33"/>
      <c r="C225" s="17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2.0" customHeight="1">
      <c r="A226" s="33"/>
      <c r="B226" s="33"/>
      <c r="C226" s="17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2.0" customHeight="1">
      <c r="A227" s="33"/>
      <c r="B227" s="33"/>
      <c r="C227" s="17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2.0" customHeight="1">
      <c r="A228" s="33"/>
      <c r="B228" s="33"/>
      <c r="C228" s="17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2.0" customHeight="1">
      <c r="A229" s="33"/>
      <c r="B229" s="33"/>
      <c r="C229" s="17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2.0" customHeight="1">
      <c r="A230" s="33"/>
      <c r="B230" s="33"/>
      <c r="C230" s="17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2.0" customHeight="1">
      <c r="A231" s="33"/>
      <c r="B231" s="33"/>
      <c r="C231" s="17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2.0" customHeight="1">
      <c r="A232" s="33"/>
      <c r="B232" s="33"/>
      <c r="C232" s="17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2.0" customHeight="1">
      <c r="A233" s="33"/>
      <c r="B233" s="33"/>
      <c r="C233" s="17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2.0" customHeight="1">
      <c r="A234" s="33"/>
      <c r="B234" s="33"/>
      <c r="C234" s="17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2.0" customHeight="1">
      <c r="A235" s="33"/>
      <c r="B235" s="33"/>
      <c r="C235" s="17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2.0" customHeight="1">
      <c r="A236" s="33"/>
      <c r="B236" s="33"/>
      <c r="C236" s="17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2.0" customHeight="1">
      <c r="A237" s="33"/>
      <c r="B237" s="33"/>
      <c r="C237" s="17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2.0" customHeight="1">
      <c r="A238" s="33"/>
      <c r="B238" s="33"/>
      <c r="C238" s="17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2.0" customHeight="1">
      <c r="A239" s="33"/>
      <c r="B239" s="33"/>
      <c r="C239" s="17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2.0" customHeight="1">
      <c r="A240" s="33"/>
      <c r="B240" s="33"/>
      <c r="C240" s="17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2.0" customHeight="1">
      <c r="A241" s="33"/>
      <c r="B241" s="33"/>
      <c r="C241" s="17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2.0" customHeight="1">
      <c r="A242" s="33"/>
      <c r="B242" s="33"/>
      <c r="C242" s="17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2.0" customHeight="1">
      <c r="A243" s="33"/>
      <c r="B243" s="33"/>
      <c r="C243" s="17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2.0" customHeight="1">
      <c r="A244" s="33"/>
      <c r="B244" s="33"/>
      <c r="C244" s="17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2.0" customHeight="1">
      <c r="A245" s="33"/>
      <c r="B245" s="33"/>
      <c r="C245" s="17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2.0" customHeight="1">
      <c r="A246" s="33"/>
      <c r="B246" s="33"/>
      <c r="C246" s="17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2.0" customHeight="1">
      <c r="A247" s="33"/>
      <c r="B247" s="33"/>
      <c r="C247" s="17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2.0" customHeight="1">
      <c r="A248" s="33"/>
      <c r="B248" s="33"/>
      <c r="C248" s="17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2.0" customHeight="1">
      <c r="A249" s="33"/>
      <c r="B249" s="33"/>
      <c r="C249" s="17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2.0" customHeight="1">
      <c r="A250" s="33"/>
      <c r="B250" s="33"/>
      <c r="C250" s="17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2.0" customHeight="1">
      <c r="A251" s="33"/>
      <c r="B251" s="33"/>
      <c r="C251" s="17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2.0" customHeight="1">
      <c r="A252" s="33"/>
      <c r="B252" s="33"/>
      <c r="C252" s="17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2.0" customHeight="1">
      <c r="A253" s="33"/>
      <c r="B253" s="33"/>
      <c r="C253" s="17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2.0" customHeight="1">
      <c r="A254" s="33"/>
      <c r="B254" s="33"/>
      <c r="C254" s="17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2.0" customHeight="1">
      <c r="A255" s="33"/>
      <c r="B255" s="33"/>
      <c r="C255" s="17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2.0" customHeight="1">
      <c r="A256" s="33"/>
      <c r="B256" s="33"/>
      <c r="C256" s="17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2.0" customHeight="1">
      <c r="A257" s="33"/>
      <c r="B257" s="33"/>
      <c r="C257" s="17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2.0" customHeight="1">
      <c r="A258" s="33"/>
      <c r="B258" s="33"/>
      <c r="C258" s="17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2.0" customHeight="1">
      <c r="A259" s="33"/>
      <c r="B259" s="33"/>
      <c r="C259" s="17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2.0" customHeight="1">
      <c r="A260" s="33"/>
      <c r="B260" s="33"/>
      <c r="C260" s="17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2.0" customHeight="1">
      <c r="A261" s="33"/>
      <c r="B261" s="33"/>
      <c r="C261" s="17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2.0" customHeight="1">
      <c r="A262" s="33"/>
      <c r="B262" s="33"/>
      <c r="C262" s="17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2.0" customHeight="1">
      <c r="A263" s="33"/>
      <c r="B263" s="33"/>
      <c r="C263" s="17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2.0" customHeight="1">
      <c r="A264" s="33"/>
      <c r="B264" s="33"/>
      <c r="C264" s="17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2.0" customHeight="1">
      <c r="A265" s="33"/>
      <c r="B265" s="33"/>
      <c r="C265" s="17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2.0" customHeight="1">
      <c r="A266" s="33"/>
      <c r="B266" s="33"/>
      <c r="C266" s="17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2.0" customHeight="1">
      <c r="A267" s="33"/>
      <c r="B267" s="33"/>
      <c r="C267" s="17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2.0" customHeight="1">
      <c r="A268" s="33"/>
      <c r="B268" s="33"/>
      <c r="C268" s="17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2.0" customHeight="1">
      <c r="A269" s="33"/>
      <c r="B269" s="33"/>
      <c r="C269" s="17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2.0" customHeight="1">
      <c r="A270" s="33"/>
      <c r="B270" s="33"/>
      <c r="C270" s="17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2.0" customHeight="1">
      <c r="A271" s="33"/>
      <c r="B271" s="33"/>
      <c r="C271" s="17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2.0" customHeight="1">
      <c r="A272" s="33"/>
      <c r="B272" s="33"/>
      <c r="C272" s="17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2.0" customHeight="1">
      <c r="A273" s="33"/>
      <c r="B273" s="33"/>
      <c r="C273" s="17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2.0" customHeight="1">
      <c r="A274" s="33"/>
      <c r="B274" s="33"/>
      <c r="C274" s="17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2.0" customHeight="1">
      <c r="A275" s="33"/>
      <c r="B275" s="33"/>
      <c r="C275" s="17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2.0" customHeight="1">
      <c r="A276" s="33"/>
      <c r="B276" s="33"/>
      <c r="C276" s="17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2.0" customHeight="1">
      <c r="A277" s="33"/>
      <c r="B277" s="33"/>
      <c r="C277" s="17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2.0" customHeight="1">
      <c r="A278" s="33"/>
      <c r="B278" s="33"/>
      <c r="C278" s="17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2.0" customHeight="1">
      <c r="A279" s="33"/>
      <c r="B279" s="33"/>
      <c r="C279" s="17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2.0" customHeight="1">
      <c r="A280" s="33"/>
      <c r="B280" s="33"/>
      <c r="C280" s="17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2.0" customHeight="1">
      <c r="A281" s="33"/>
      <c r="B281" s="33"/>
      <c r="C281" s="17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2.0" customHeight="1">
      <c r="A282" s="33"/>
      <c r="B282" s="33"/>
      <c r="C282" s="17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2.0" customHeight="1">
      <c r="A283" s="33"/>
      <c r="B283" s="33"/>
      <c r="C283" s="17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2.0" customHeight="1">
      <c r="A284" s="33"/>
      <c r="B284" s="33"/>
      <c r="C284" s="17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2.0" customHeight="1">
      <c r="A285" s="33"/>
      <c r="B285" s="33"/>
      <c r="C285" s="17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2.0" customHeight="1">
      <c r="A286" s="33"/>
      <c r="B286" s="33"/>
      <c r="C286" s="17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2.0" customHeight="1">
      <c r="A287" s="33"/>
      <c r="B287" s="33"/>
      <c r="C287" s="17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2.0" customHeight="1">
      <c r="A288" s="33"/>
      <c r="B288" s="33"/>
      <c r="C288" s="17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2.0" customHeight="1">
      <c r="A289" s="33"/>
      <c r="B289" s="33"/>
      <c r="C289" s="17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2.0" customHeight="1">
      <c r="A290" s="33"/>
      <c r="B290" s="33"/>
      <c r="C290" s="17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2.0" customHeight="1">
      <c r="A291" s="33"/>
      <c r="B291" s="33"/>
      <c r="C291" s="17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2.0" customHeight="1">
      <c r="A292" s="33"/>
      <c r="B292" s="33"/>
      <c r="C292" s="17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2.0" customHeight="1">
      <c r="A293" s="33"/>
      <c r="B293" s="33"/>
      <c r="C293" s="17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2.0" customHeight="1">
      <c r="A294" s="33"/>
      <c r="B294" s="33"/>
      <c r="C294" s="17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2.0" customHeight="1">
      <c r="A295" s="33"/>
      <c r="B295" s="33"/>
      <c r="C295" s="17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2.0" customHeight="1">
      <c r="A296" s="33"/>
      <c r="B296" s="33"/>
      <c r="C296" s="17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2.0" customHeight="1">
      <c r="A297" s="33"/>
      <c r="B297" s="33"/>
      <c r="C297" s="17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2.0" customHeight="1">
      <c r="A298" s="33"/>
      <c r="B298" s="33"/>
      <c r="C298" s="17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2.0" customHeight="1">
      <c r="A299" s="33"/>
      <c r="B299" s="33"/>
      <c r="C299" s="17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2.0" customHeight="1">
      <c r="A300" s="33"/>
      <c r="B300" s="33"/>
      <c r="C300" s="17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2.0" customHeight="1">
      <c r="A301" s="33"/>
      <c r="B301" s="33"/>
      <c r="C301" s="17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2.0" customHeight="1">
      <c r="A302" s="33"/>
      <c r="B302" s="33"/>
      <c r="C302" s="17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2.0" customHeight="1">
      <c r="A303" s="33"/>
      <c r="B303" s="33"/>
      <c r="C303" s="17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2.0" customHeight="1">
      <c r="A304" s="33"/>
      <c r="B304" s="33"/>
      <c r="C304" s="17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2.0" customHeight="1">
      <c r="A305" s="33"/>
      <c r="B305" s="33"/>
      <c r="C305" s="17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2.0" customHeight="1">
      <c r="A306" s="33"/>
      <c r="B306" s="33"/>
      <c r="C306" s="17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2.0" customHeight="1">
      <c r="A307" s="33"/>
      <c r="B307" s="33"/>
      <c r="C307" s="17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2.0" customHeight="1">
      <c r="A308" s="33"/>
      <c r="B308" s="33"/>
      <c r="C308" s="17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2.0" customHeight="1">
      <c r="A309" s="33"/>
      <c r="B309" s="33"/>
      <c r="C309" s="17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2.0" customHeight="1">
      <c r="A310" s="33"/>
      <c r="B310" s="33"/>
      <c r="C310" s="17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2.0" customHeight="1">
      <c r="A311" s="33"/>
      <c r="B311" s="33"/>
      <c r="C311" s="17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2.0" customHeight="1">
      <c r="A312" s="33"/>
      <c r="B312" s="33"/>
      <c r="C312" s="17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2.0" customHeight="1">
      <c r="A313" s="33"/>
      <c r="B313" s="33"/>
      <c r="C313" s="17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2.0" customHeight="1">
      <c r="A314" s="33"/>
      <c r="B314" s="33"/>
      <c r="C314" s="17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2.0" customHeight="1">
      <c r="A315" s="33"/>
      <c r="B315" s="33"/>
      <c r="C315" s="17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2.0" customHeight="1">
      <c r="A316" s="33"/>
      <c r="B316" s="33"/>
      <c r="C316" s="17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2.0" customHeight="1">
      <c r="A317" s="33"/>
      <c r="B317" s="33"/>
      <c r="C317" s="17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2.0" customHeight="1">
      <c r="A318" s="33"/>
      <c r="B318" s="33"/>
      <c r="C318" s="17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2.0" customHeight="1">
      <c r="A319" s="33"/>
      <c r="B319" s="33"/>
      <c r="C319" s="17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2.0" customHeight="1">
      <c r="A320" s="33"/>
      <c r="B320" s="33"/>
      <c r="C320" s="17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2.0" customHeight="1">
      <c r="A321" s="33"/>
      <c r="B321" s="33"/>
      <c r="C321" s="17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2.0" customHeight="1">
      <c r="A322" s="33"/>
      <c r="B322" s="33"/>
      <c r="C322" s="17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2.0" customHeight="1">
      <c r="A323" s="33"/>
      <c r="B323" s="33"/>
      <c r="C323" s="17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2.0" customHeight="1">
      <c r="A324" s="33"/>
      <c r="B324" s="33"/>
      <c r="C324" s="17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2.0" customHeight="1">
      <c r="A325" s="33"/>
      <c r="B325" s="33"/>
      <c r="C325" s="17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2.0" customHeight="1">
      <c r="A326" s="33"/>
      <c r="B326" s="33"/>
      <c r="C326" s="17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2.0" customHeight="1">
      <c r="A327" s="33"/>
      <c r="B327" s="33"/>
      <c r="C327" s="17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2.0" customHeight="1">
      <c r="A328" s="33"/>
      <c r="B328" s="33"/>
      <c r="C328" s="17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2.0" customHeight="1">
      <c r="A329" s="33"/>
      <c r="B329" s="33"/>
      <c r="C329" s="17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2.0" customHeight="1">
      <c r="A330" s="33"/>
      <c r="B330" s="33"/>
      <c r="C330" s="17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2.0" customHeight="1">
      <c r="A331" s="33"/>
      <c r="B331" s="33"/>
      <c r="C331" s="17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2.0" customHeight="1">
      <c r="A332" s="33"/>
      <c r="B332" s="33"/>
      <c r="C332" s="17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2.0" customHeight="1">
      <c r="A333" s="33"/>
      <c r="B333" s="33"/>
      <c r="C333" s="17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2.0" customHeight="1">
      <c r="A334" s="33"/>
      <c r="B334" s="33"/>
      <c r="C334" s="17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2.0" customHeight="1">
      <c r="A335" s="33"/>
      <c r="B335" s="33"/>
      <c r="C335" s="17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2.0" customHeight="1">
      <c r="A336" s="33"/>
      <c r="B336" s="33"/>
      <c r="C336" s="17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2.0" customHeight="1">
      <c r="A337" s="33"/>
      <c r="B337" s="33"/>
      <c r="C337" s="17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2.0" customHeight="1">
      <c r="A338" s="33"/>
      <c r="B338" s="33"/>
      <c r="C338" s="17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2.0" customHeight="1">
      <c r="A339" s="33"/>
      <c r="B339" s="33"/>
      <c r="C339" s="17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2.0" customHeight="1">
      <c r="A340" s="33"/>
      <c r="B340" s="33"/>
      <c r="C340" s="17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2.0" customHeight="1">
      <c r="A341" s="33"/>
      <c r="B341" s="33"/>
      <c r="C341" s="17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2.0" customHeight="1">
      <c r="A342" s="33"/>
      <c r="B342" s="33"/>
      <c r="C342" s="17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2.0" customHeight="1">
      <c r="A343" s="33"/>
      <c r="B343" s="33"/>
      <c r="C343" s="17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2.0" customHeight="1">
      <c r="A344" s="33"/>
      <c r="B344" s="33"/>
      <c r="C344" s="17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2.0" customHeight="1">
      <c r="A345" s="33"/>
      <c r="B345" s="33"/>
      <c r="C345" s="17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2.0" customHeight="1">
      <c r="A346" s="33"/>
      <c r="B346" s="33"/>
      <c r="C346" s="17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2.0" customHeight="1">
      <c r="A347" s="33"/>
      <c r="B347" s="33"/>
      <c r="C347" s="17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2.0" customHeight="1">
      <c r="A348" s="33"/>
      <c r="B348" s="33"/>
      <c r="C348" s="17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2.0" customHeight="1">
      <c r="A349" s="33"/>
      <c r="B349" s="33"/>
      <c r="C349" s="17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2.0" customHeight="1">
      <c r="A350" s="33"/>
      <c r="B350" s="33"/>
      <c r="C350" s="17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2.0" customHeight="1">
      <c r="A351" s="33"/>
      <c r="B351" s="33"/>
      <c r="C351" s="17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2.0" customHeight="1">
      <c r="A352" s="33"/>
      <c r="B352" s="33"/>
      <c r="C352" s="17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2.0" customHeight="1">
      <c r="A353" s="33"/>
      <c r="B353" s="33"/>
      <c r="C353" s="17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2.0" customHeight="1">
      <c r="A354" s="33"/>
      <c r="B354" s="33"/>
      <c r="C354" s="17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2.0" customHeight="1">
      <c r="A355" s="33"/>
      <c r="B355" s="33"/>
      <c r="C355" s="17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2.0" customHeight="1">
      <c r="A356" s="33"/>
      <c r="B356" s="33"/>
      <c r="C356" s="17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2.0" customHeight="1">
      <c r="A357" s="33"/>
      <c r="B357" s="33"/>
      <c r="C357" s="17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2.0" customHeight="1">
      <c r="A358" s="33"/>
      <c r="B358" s="33"/>
      <c r="C358" s="17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2.0" customHeight="1">
      <c r="A359" s="33"/>
      <c r="B359" s="33"/>
      <c r="C359" s="17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2.0" customHeight="1">
      <c r="A360" s="33"/>
      <c r="B360" s="33"/>
      <c r="C360" s="17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2.0" customHeight="1">
      <c r="A361" s="33"/>
      <c r="B361" s="33"/>
      <c r="C361" s="17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2.0" customHeight="1">
      <c r="A362" s="33"/>
      <c r="B362" s="33"/>
      <c r="C362" s="17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2.0" customHeight="1">
      <c r="A363" s="33"/>
      <c r="B363" s="33"/>
      <c r="C363" s="17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2.0" customHeight="1">
      <c r="A364" s="33"/>
      <c r="B364" s="33"/>
      <c r="C364" s="17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2.0" customHeight="1">
      <c r="A365" s="33"/>
      <c r="B365" s="33"/>
      <c r="C365" s="17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2.0" customHeight="1">
      <c r="A366" s="33"/>
      <c r="B366" s="33"/>
      <c r="C366" s="17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2.0" customHeight="1">
      <c r="A367" s="33"/>
      <c r="B367" s="33"/>
      <c r="C367" s="17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2.0" customHeight="1">
      <c r="A368" s="33"/>
      <c r="B368" s="33"/>
      <c r="C368" s="17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2.0" customHeight="1">
      <c r="A369" s="33"/>
      <c r="B369" s="33"/>
      <c r="C369" s="17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2.0" customHeight="1">
      <c r="A370" s="33"/>
      <c r="B370" s="33"/>
      <c r="C370" s="17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2.0" customHeight="1">
      <c r="A371" s="33"/>
      <c r="B371" s="33"/>
      <c r="C371" s="17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2.0" customHeight="1">
      <c r="A372" s="33"/>
      <c r="B372" s="33"/>
      <c r="C372" s="17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2.0" customHeight="1">
      <c r="A373" s="33"/>
      <c r="B373" s="33"/>
      <c r="C373" s="17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2.0" customHeight="1">
      <c r="A374" s="33"/>
      <c r="B374" s="33"/>
      <c r="C374" s="17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2.0" customHeight="1">
      <c r="A375" s="33"/>
      <c r="B375" s="33"/>
      <c r="C375" s="17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2.0" customHeight="1">
      <c r="A376" s="33"/>
      <c r="B376" s="33"/>
      <c r="C376" s="17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2.0" customHeight="1">
      <c r="A377" s="33"/>
      <c r="B377" s="33"/>
      <c r="C377" s="17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2.0" customHeight="1">
      <c r="A378" s="33"/>
      <c r="B378" s="33"/>
      <c r="C378" s="17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2.0" customHeight="1">
      <c r="A379" s="33"/>
      <c r="B379" s="33"/>
      <c r="C379" s="17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2.0" customHeight="1">
      <c r="A380" s="33"/>
      <c r="B380" s="33"/>
      <c r="C380" s="17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2.0" customHeight="1">
      <c r="A381" s="33"/>
      <c r="B381" s="33"/>
      <c r="C381" s="17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2.0" customHeight="1">
      <c r="A382" s="33"/>
      <c r="B382" s="33"/>
      <c r="C382" s="17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2.0" customHeight="1">
      <c r="A383" s="33"/>
      <c r="B383" s="33"/>
      <c r="C383" s="17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2.0" customHeight="1">
      <c r="A384" s="33"/>
      <c r="B384" s="33"/>
      <c r="C384" s="17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2.0" customHeight="1">
      <c r="A385" s="33"/>
      <c r="B385" s="33"/>
      <c r="C385" s="17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2.0" customHeight="1">
      <c r="A386" s="33"/>
      <c r="B386" s="33"/>
      <c r="C386" s="17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2.0" customHeight="1">
      <c r="A387" s="33"/>
      <c r="B387" s="33"/>
      <c r="C387" s="17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2.0" customHeight="1">
      <c r="A388" s="33"/>
      <c r="B388" s="33"/>
      <c r="C388" s="17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2.0" customHeight="1">
      <c r="A389" s="33"/>
      <c r="B389" s="33"/>
      <c r="C389" s="17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2.0" customHeight="1">
      <c r="A390" s="33"/>
      <c r="B390" s="33"/>
      <c r="C390" s="17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2.0" customHeight="1">
      <c r="A391" s="33"/>
      <c r="B391" s="33"/>
      <c r="C391" s="17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2.0" customHeight="1">
      <c r="A392" s="33"/>
      <c r="B392" s="33"/>
      <c r="C392" s="17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2.0" customHeight="1">
      <c r="A393" s="33"/>
      <c r="B393" s="33"/>
      <c r="C393" s="17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2.0" customHeight="1">
      <c r="A394" s="33"/>
      <c r="B394" s="33"/>
      <c r="C394" s="17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2.0" customHeight="1">
      <c r="A395" s="33"/>
      <c r="B395" s="33"/>
      <c r="C395" s="17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2.0" customHeight="1">
      <c r="A396" s="33"/>
      <c r="B396" s="33"/>
      <c r="C396" s="17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2.0" customHeight="1">
      <c r="A397" s="33"/>
      <c r="B397" s="33"/>
      <c r="C397" s="17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2.0" customHeight="1">
      <c r="A398" s="33"/>
      <c r="B398" s="33"/>
      <c r="C398" s="17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2.0" customHeight="1">
      <c r="A399" s="33"/>
      <c r="B399" s="33"/>
      <c r="C399" s="17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2.0" customHeight="1">
      <c r="A400" s="33"/>
      <c r="B400" s="33"/>
      <c r="C400" s="17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2.0" customHeight="1">
      <c r="A401" s="33"/>
      <c r="B401" s="33"/>
      <c r="C401" s="17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2.0" customHeight="1">
      <c r="A402" s="33"/>
      <c r="B402" s="33"/>
      <c r="C402" s="17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2.0" customHeight="1">
      <c r="A403" s="33"/>
      <c r="B403" s="33"/>
      <c r="C403" s="17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2.0" customHeight="1">
      <c r="A404" s="33"/>
      <c r="B404" s="33"/>
      <c r="C404" s="17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2.0" customHeight="1">
      <c r="A405" s="33"/>
      <c r="B405" s="33"/>
      <c r="C405" s="17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2.0" customHeight="1">
      <c r="A406" s="33"/>
      <c r="B406" s="33"/>
      <c r="C406" s="17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2.0" customHeight="1">
      <c r="A407" s="33"/>
      <c r="B407" s="33"/>
      <c r="C407" s="17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2.0" customHeight="1">
      <c r="A408" s="33"/>
      <c r="B408" s="33"/>
      <c r="C408" s="17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2.0" customHeight="1">
      <c r="A409" s="33"/>
      <c r="B409" s="33"/>
      <c r="C409" s="17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2.0" customHeight="1">
      <c r="A410" s="33"/>
      <c r="B410" s="33"/>
      <c r="C410" s="17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2.0" customHeight="1">
      <c r="A411" s="33"/>
      <c r="B411" s="33"/>
      <c r="C411" s="17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2.0" customHeight="1">
      <c r="A412" s="33"/>
      <c r="B412" s="33"/>
      <c r="C412" s="17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2.0" customHeight="1">
      <c r="A413" s="33"/>
      <c r="B413" s="33"/>
      <c r="C413" s="17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2.0" customHeight="1">
      <c r="A414" s="33"/>
      <c r="B414" s="33"/>
      <c r="C414" s="17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2.0" customHeight="1">
      <c r="A415" s="33"/>
      <c r="B415" s="33"/>
      <c r="C415" s="17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2.0" customHeight="1">
      <c r="A416" s="33"/>
      <c r="B416" s="33"/>
      <c r="C416" s="17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2.0" customHeight="1">
      <c r="A417" s="33"/>
      <c r="B417" s="33"/>
      <c r="C417" s="17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2.0" customHeight="1">
      <c r="A418" s="33"/>
      <c r="B418" s="33"/>
      <c r="C418" s="17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2.0" customHeight="1">
      <c r="A419" s="33"/>
      <c r="B419" s="33"/>
      <c r="C419" s="17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2.0" customHeight="1">
      <c r="A420" s="33"/>
      <c r="B420" s="33"/>
      <c r="C420" s="17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2.0" customHeight="1">
      <c r="A421" s="33"/>
      <c r="B421" s="33"/>
      <c r="C421" s="17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2.0" customHeight="1">
      <c r="A422" s="33"/>
      <c r="B422" s="33"/>
      <c r="C422" s="17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2.0" customHeight="1">
      <c r="A423" s="33"/>
      <c r="B423" s="33"/>
      <c r="C423" s="17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2.0" customHeight="1">
      <c r="A424" s="33"/>
      <c r="B424" s="33"/>
      <c r="C424" s="17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2.0" customHeight="1">
      <c r="A425" s="33"/>
      <c r="B425" s="33"/>
      <c r="C425" s="17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2.0" customHeight="1">
      <c r="A426" s="33"/>
      <c r="B426" s="33"/>
      <c r="C426" s="17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2.0" customHeight="1">
      <c r="A427" s="33"/>
      <c r="B427" s="33"/>
      <c r="C427" s="17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2.0" customHeight="1">
      <c r="A428" s="33"/>
      <c r="B428" s="33"/>
      <c r="C428" s="17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2.0" customHeight="1">
      <c r="A429" s="33"/>
      <c r="B429" s="33"/>
      <c r="C429" s="17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2.0" customHeight="1">
      <c r="A430" s="33"/>
      <c r="B430" s="33"/>
      <c r="C430" s="17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2.0" customHeight="1">
      <c r="A431" s="33"/>
      <c r="B431" s="33"/>
      <c r="C431" s="17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2.0" customHeight="1">
      <c r="A432" s="33"/>
      <c r="B432" s="33"/>
      <c r="C432" s="17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2.0" customHeight="1">
      <c r="A433" s="33"/>
      <c r="B433" s="33"/>
      <c r="C433" s="17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2.0" customHeight="1">
      <c r="A434" s="33"/>
      <c r="B434" s="33"/>
      <c r="C434" s="17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2.0" customHeight="1">
      <c r="A435" s="33"/>
      <c r="B435" s="33"/>
      <c r="C435" s="17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2.0" customHeight="1">
      <c r="A436" s="33"/>
      <c r="B436" s="33"/>
      <c r="C436" s="17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2.0" customHeight="1">
      <c r="A437" s="33"/>
      <c r="B437" s="33"/>
      <c r="C437" s="17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2.0" customHeight="1">
      <c r="A438" s="33"/>
      <c r="B438" s="33"/>
      <c r="C438" s="17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2.0" customHeight="1">
      <c r="A439" s="33"/>
      <c r="B439" s="33"/>
      <c r="C439" s="17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2.0" customHeight="1">
      <c r="A440" s="33"/>
      <c r="B440" s="33"/>
      <c r="C440" s="17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2.0" customHeight="1">
      <c r="A441" s="33"/>
      <c r="B441" s="33"/>
      <c r="C441" s="17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2.0" customHeight="1">
      <c r="A442" s="33"/>
      <c r="B442" s="33"/>
      <c r="C442" s="17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2.0" customHeight="1">
      <c r="A443" s="33"/>
      <c r="B443" s="33"/>
      <c r="C443" s="17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2.0" customHeight="1">
      <c r="A444" s="33"/>
      <c r="B444" s="33"/>
      <c r="C444" s="17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2.0" customHeight="1">
      <c r="A445" s="33"/>
      <c r="B445" s="33"/>
      <c r="C445" s="17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2.0" customHeight="1">
      <c r="A446" s="33"/>
      <c r="B446" s="33"/>
      <c r="C446" s="17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2.0" customHeight="1">
      <c r="A447" s="33"/>
      <c r="B447" s="33"/>
      <c r="C447" s="17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2.0" customHeight="1">
      <c r="A448" s="33"/>
      <c r="B448" s="33"/>
      <c r="C448" s="17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2.0" customHeight="1">
      <c r="A449" s="33"/>
      <c r="B449" s="33"/>
      <c r="C449" s="17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2.0" customHeight="1">
      <c r="A450" s="33"/>
      <c r="B450" s="33"/>
      <c r="C450" s="17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2.0" customHeight="1">
      <c r="A451" s="33"/>
      <c r="B451" s="33"/>
      <c r="C451" s="17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2.0" customHeight="1">
      <c r="A452" s="33"/>
      <c r="B452" s="33"/>
      <c r="C452" s="17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2.0" customHeight="1">
      <c r="A453" s="33"/>
      <c r="B453" s="33"/>
      <c r="C453" s="17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2.0" customHeight="1">
      <c r="A454" s="33"/>
      <c r="B454" s="33"/>
      <c r="C454" s="17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2.0" customHeight="1">
      <c r="A455" s="33"/>
      <c r="B455" s="33"/>
      <c r="C455" s="17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2.0" customHeight="1">
      <c r="A456" s="33"/>
      <c r="B456" s="33"/>
      <c r="C456" s="17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2.0" customHeight="1">
      <c r="A457" s="33"/>
      <c r="B457" s="33"/>
      <c r="C457" s="17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2.0" customHeight="1">
      <c r="A458" s="33"/>
      <c r="B458" s="33"/>
      <c r="C458" s="17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2.0" customHeight="1">
      <c r="A459" s="33"/>
      <c r="B459" s="33"/>
      <c r="C459" s="17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2.0" customHeight="1">
      <c r="A460" s="33"/>
      <c r="B460" s="33"/>
      <c r="C460" s="17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2.0" customHeight="1">
      <c r="A461" s="33"/>
      <c r="B461" s="33"/>
      <c r="C461" s="17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2.0" customHeight="1">
      <c r="A462" s="33"/>
      <c r="B462" s="33"/>
      <c r="C462" s="17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2.0" customHeight="1">
      <c r="A463" s="33"/>
      <c r="B463" s="33"/>
      <c r="C463" s="17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2.0" customHeight="1">
      <c r="A464" s="33"/>
      <c r="B464" s="33"/>
      <c r="C464" s="17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2.0" customHeight="1">
      <c r="A465" s="33"/>
      <c r="B465" s="33"/>
      <c r="C465" s="17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2.0" customHeight="1">
      <c r="A466" s="33"/>
      <c r="B466" s="33"/>
      <c r="C466" s="17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2.0" customHeight="1">
      <c r="A467" s="33"/>
      <c r="B467" s="33"/>
      <c r="C467" s="17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2.0" customHeight="1">
      <c r="A468" s="33"/>
      <c r="B468" s="33"/>
      <c r="C468" s="17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2.0" customHeight="1">
      <c r="A469" s="33"/>
      <c r="B469" s="33"/>
      <c r="C469" s="17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2.0" customHeight="1">
      <c r="A470" s="33"/>
      <c r="B470" s="33"/>
      <c r="C470" s="17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2.0" customHeight="1">
      <c r="A471" s="33"/>
      <c r="B471" s="33"/>
      <c r="C471" s="17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2.0" customHeight="1">
      <c r="A472" s="33"/>
      <c r="B472" s="33"/>
      <c r="C472" s="17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2.0" customHeight="1">
      <c r="A473" s="33"/>
      <c r="B473" s="33"/>
      <c r="C473" s="17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2.0" customHeight="1">
      <c r="A474" s="33"/>
      <c r="B474" s="33"/>
      <c r="C474" s="17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2.0" customHeight="1">
      <c r="A475" s="33"/>
      <c r="B475" s="33"/>
      <c r="C475" s="17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2.0" customHeight="1">
      <c r="A476" s="33"/>
      <c r="B476" s="33"/>
      <c r="C476" s="17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2.0" customHeight="1">
      <c r="A477" s="33"/>
      <c r="B477" s="33"/>
      <c r="C477" s="17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2.0" customHeight="1">
      <c r="A478" s="33"/>
      <c r="B478" s="33"/>
      <c r="C478" s="17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2.0" customHeight="1">
      <c r="A479" s="33"/>
      <c r="B479" s="33"/>
      <c r="C479" s="17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2.0" customHeight="1">
      <c r="A480" s="33"/>
      <c r="B480" s="33"/>
      <c r="C480" s="17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2.0" customHeight="1">
      <c r="A481" s="33"/>
      <c r="B481" s="33"/>
      <c r="C481" s="17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2.0" customHeight="1">
      <c r="A482" s="33"/>
      <c r="B482" s="33"/>
      <c r="C482" s="17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2.0" customHeight="1">
      <c r="A483" s="33"/>
      <c r="B483" s="33"/>
      <c r="C483" s="17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2.0" customHeight="1">
      <c r="A484" s="33"/>
      <c r="B484" s="33"/>
      <c r="C484" s="17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2.0" customHeight="1">
      <c r="A485" s="33"/>
      <c r="B485" s="33"/>
      <c r="C485" s="17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2.0" customHeight="1">
      <c r="A486" s="33"/>
      <c r="B486" s="33"/>
      <c r="C486" s="17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2.0" customHeight="1">
      <c r="A487" s="33"/>
      <c r="B487" s="33"/>
      <c r="C487" s="17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2.0" customHeight="1">
      <c r="A488" s="33"/>
      <c r="B488" s="33"/>
      <c r="C488" s="17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2.0" customHeight="1">
      <c r="A489" s="33"/>
      <c r="B489" s="33"/>
      <c r="C489" s="17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2.0" customHeight="1">
      <c r="A490" s="33"/>
      <c r="B490" s="33"/>
      <c r="C490" s="17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2.0" customHeight="1">
      <c r="A491" s="33"/>
      <c r="B491" s="33"/>
      <c r="C491" s="17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2.0" customHeight="1">
      <c r="A492" s="33"/>
      <c r="B492" s="33"/>
      <c r="C492" s="17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2.0" customHeight="1">
      <c r="A493" s="33"/>
      <c r="B493" s="33"/>
      <c r="C493" s="17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2.0" customHeight="1">
      <c r="A494" s="33"/>
      <c r="B494" s="33"/>
      <c r="C494" s="17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2.0" customHeight="1">
      <c r="A495" s="33"/>
      <c r="B495" s="33"/>
      <c r="C495" s="17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2.0" customHeight="1">
      <c r="A496" s="33"/>
      <c r="B496" s="33"/>
      <c r="C496" s="17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2.0" customHeight="1">
      <c r="A497" s="33"/>
      <c r="B497" s="33"/>
      <c r="C497" s="17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2.0" customHeight="1">
      <c r="A498" s="33"/>
      <c r="B498" s="33"/>
      <c r="C498" s="17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2.0" customHeight="1">
      <c r="A499" s="33"/>
      <c r="B499" s="33"/>
      <c r="C499" s="17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2.0" customHeight="1">
      <c r="A500" s="33"/>
      <c r="B500" s="33"/>
      <c r="C500" s="17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2.0" customHeight="1">
      <c r="A501" s="33"/>
      <c r="B501" s="33"/>
      <c r="C501" s="17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2.0" customHeight="1">
      <c r="A502" s="33"/>
      <c r="B502" s="33"/>
      <c r="C502" s="17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2.0" customHeight="1">
      <c r="A503" s="33"/>
      <c r="B503" s="33"/>
      <c r="C503" s="17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2.0" customHeight="1">
      <c r="A504" s="33"/>
      <c r="B504" s="33"/>
      <c r="C504" s="17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2.0" customHeight="1">
      <c r="A505" s="33"/>
      <c r="B505" s="33"/>
      <c r="C505" s="17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2.0" customHeight="1">
      <c r="A506" s="33"/>
      <c r="B506" s="33"/>
      <c r="C506" s="17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2.0" customHeight="1">
      <c r="A507" s="33"/>
      <c r="B507" s="33"/>
      <c r="C507" s="17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2.0" customHeight="1">
      <c r="A508" s="33"/>
      <c r="B508" s="33"/>
      <c r="C508" s="17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2.0" customHeight="1">
      <c r="A509" s="33"/>
      <c r="B509" s="33"/>
      <c r="C509" s="17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2.0" customHeight="1">
      <c r="A510" s="33"/>
      <c r="B510" s="33"/>
      <c r="C510" s="17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2.0" customHeight="1">
      <c r="A511" s="33"/>
      <c r="B511" s="33"/>
      <c r="C511" s="17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2.0" customHeight="1">
      <c r="A512" s="33"/>
      <c r="B512" s="33"/>
      <c r="C512" s="17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2.0" customHeight="1">
      <c r="A513" s="33"/>
      <c r="B513" s="33"/>
      <c r="C513" s="17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2.0" customHeight="1">
      <c r="A514" s="33"/>
      <c r="B514" s="33"/>
      <c r="C514" s="17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2.0" customHeight="1">
      <c r="A515" s="33"/>
      <c r="B515" s="33"/>
      <c r="C515" s="17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2.0" customHeight="1">
      <c r="A516" s="33"/>
      <c r="B516" s="33"/>
      <c r="C516" s="17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2.0" customHeight="1">
      <c r="A517" s="33"/>
      <c r="B517" s="33"/>
      <c r="C517" s="17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2.0" customHeight="1">
      <c r="A518" s="33"/>
      <c r="B518" s="33"/>
      <c r="C518" s="17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2.0" customHeight="1">
      <c r="A519" s="33"/>
      <c r="B519" s="33"/>
      <c r="C519" s="17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2.0" customHeight="1">
      <c r="A520" s="33"/>
      <c r="B520" s="33"/>
      <c r="C520" s="17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2.0" customHeight="1">
      <c r="A521" s="33"/>
      <c r="B521" s="33"/>
      <c r="C521" s="17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2.0" customHeight="1">
      <c r="A522" s="33"/>
      <c r="B522" s="33"/>
      <c r="C522" s="17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2.0" customHeight="1">
      <c r="A523" s="33"/>
      <c r="B523" s="33"/>
      <c r="C523" s="17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2.0" customHeight="1">
      <c r="A524" s="33"/>
      <c r="B524" s="33"/>
      <c r="C524" s="17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2.0" customHeight="1">
      <c r="A525" s="33"/>
      <c r="B525" s="33"/>
      <c r="C525" s="17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2.0" customHeight="1">
      <c r="A526" s="33"/>
      <c r="B526" s="33"/>
      <c r="C526" s="17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2.0" customHeight="1">
      <c r="A527" s="33"/>
      <c r="B527" s="33"/>
      <c r="C527" s="17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2.0" customHeight="1">
      <c r="A528" s="33"/>
      <c r="B528" s="33"/>
      <c r="C528" s="17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2.0" customHeight="1">
      <c r="A529" s="33"/>
      <c r="B529" s="33"/>
      <c r="C529" s="17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2.0" customHeight="1">
      <c r="A530" s="33"/>
      <c r="B530" s="33"/>
      <c r="C530" s="17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2.0" customHeight="1">
      <c r="A531" s="33"/>
      <c r="B531" s="33"/>
      <c r="C531" s="17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2.0" customHeight="1">
      <c r="A532" s="33"/>
      <c r="B532" s="33"/>
      <c r="C532" s="17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2.0" customHeight="1">
      <c r="A533" s="33"/>
      <c r="B533" s="33"/>
      <c r="C533" s="17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2.0" customHeight="1">
      <c r="A534" s="33"/>
      <c r="B534" s="33"/>
      <c r="C534" s="17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2.0" customHeight="1">
      <c r="A535" s="33"/>
      <c r="B535" s="33"/>
      <c r="C535" s="17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2.0" customHeight="1">
      <c r="A536" s="33"/>
      <c r="B536" s="33"/>
      <c r="C536" s="17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2.0" customHeight="1">
      <c r="A537" s="33"/>
      <c r="B537" s="33"/>
      <c r="C537" s="17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2.0" customHeight="1">
      <c r="A538" s="33"/>
      <c r="B538" s="33"/>
      <c r="C538" s="17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2.0" customHeight="1">
      <c r="A539" s="33"/>
      <c r="B539" s="33"/>
      <c r="C539" s="17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2.0" customHeight="1">
      <c r="A540" s="33"/>
      <c r="B540" s="33"/>
      <c r="C540" s="17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2.0" customHeight="1">
      <c r="A541" s="33"/>
      <c r="B541" s="33"/>
      <c r="C541" s="17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2.0" customHeight="1">
      <c r="A542" s="33"/>
      <c r="B542" s="33"/>
      <c r="C542" s="17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2.0" customHeight="1">
      <c r="A543" s="33"/>
      <c r="B543" s="33"/>
      <c r="C543" s="17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2.0" customHeight="1">
      <c r="A544" s="33"/>
      <c r="B544" s="33"/>
      <c r="C544" s="17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2.0" customHeight="1">
      <c r="A545" s="33"/>
      <c r="B545" s="33"/>
      <c r="C545" s="17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2.0" customHeight="1">
      <c r="A546" s="33"/>
      <c r="B546" s="33"/>
      <c r="C546" s="17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2.0" customHeight="1">
      <c r="A547" s="33"/>
      <c r="B547" s="33"/>
      <c r="C547" s="17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2.0" customHeight="1">
      <c r="A548" s="33"/>
      <c r="B548" s="33"/>
      <c r="C548" s="17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2.0" customHeight="1">
      <c r="A549" s="33"/>
      <c r="B549" s="33"/>
      <c r="C549" s="17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2.0" customHeight="1">
      <c r="A550" s="33"/>
      <c r="B550" s="33"/>
      <c r="C550" s="17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2.0" customHeight="1">
      <c r="A551" s="33"/>
      <c r="B551" s="33"/>
      <c r="C551" s="17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2.0" customHeight="1">
      <c r="A552" s="33"/>
      <c r="B552" s="33"/>
      <c r="C552" s="17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2.0" customHeight="1">
      <c r="A553" s="33"/>
      <c r="B553" s="33"/>
      <c r="C553" s="17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2.0" customHeight="1">
      <c r="A554" s="33"/>
      <c r="B554" s="33"/>
      <c r="C554" s="17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2.0" customHeight="1">
      <c r="A555" s="33"/>
      <c r="B555" s="33"/>
      <c r="C555" s="17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2.0" customHeight="1">
      <c r="A556" s="33"/>
      <c r="B556" s="33"/>
      <c r="C556" s="17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2.0" customHeight="1">
      <c r="A557" s="33"/>
      <c r="B557" s="33"/>
      <c r="C557" s="17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2.0" customHeight="1">
      <c r="A558" s="33"/>
      <c r="B558" s="33"/>
      <c r="C558" s="17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2.0" customHeight="1">
      <c r="A559" s="33"/>
      <c r="B559" s="33"/>
      <c r="C559" s="17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2.0" customHeight="1">
      <c r="A560" s="33"/>
      <c r="B560" s="33"/>
      <c r="C560" s="17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2.0" customHeight="1">
      <c r="A561" s="33"/>
      <c r="B561" s="33"/>
      <c r="C561" s="17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2.0" customHeight="1">
      <c r="A562" s="33"/>
      <c r="B562" s="33"/>
      <c r="C562" s="17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2.0" customHeight="1">
      <c r="A563" s="33"/>
      <c r="B563" s="33"/>
      <c r="C563" s="17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2.0" customHeight="1">
      <c r="A564" s="33"/>
      <c r="B564" s="33"/>
      <c r="C564" s="17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2.0" customHeight="1">
      <c r="A565" s="33"/>
      <c r="B565" s="33"/>
      <c r="C565" s="17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2.0" customHeight="1">
      <c r="A566" s="33"/>
      <c r="B566" s="33"/>
      <c r="C566" s="17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2.0" customHeight="1">
      <c r="A567" s="33"/>
      <c r="B567" s="33"/>
      <c r="C567" s="17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2.0" customHeight="1">
      <c r="A568" s="33"/>
      <c r="B568" s="33"/>
      <c r="C568" s="17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2.0" customHeight="1">
      <c r="A569" s="33"/>
      <c r="B569" s="33"/>
      <c r="C569" s="17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2.0" customHeight="1">
      <c r="A570" s="33"/>
      <c r="B570" s="33"/>
      <c r="C570" s="17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2.0" customHeight="1">
      <c r="A571" s="33"/>
      <c r="B571" s="33"/>
      <c r="C571" s="17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2.0" customHeight="1">
      <c r="A572" s="33"/>
      <c r="B572" s="33"/>
      <c r="C572" s="17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2.0" customHeight="1">
      <c r="A573" s="33"/>
      <c r="B573" s="33"/>
      <c r="C573" s="17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2.0" customHeight="1">
      <c r="A574" s="33"/>
      <c r="B574" s="33"/>
      <c r="C574" s="17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2.0" customHeight="1">
      <c r="A575" s="33"/>
      <c r="B575" s="33"/>
      <c r="C575" s="17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2.0" customHeight="1">
      <c r="A576" s="33"/>
      <c r="B576" s="33"/>
      <c r="C576" s="17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2.0" customHeight="1">
      <c r="A577" s="33"/>
      <c r="B577" s="33"/>
      <c r="C577" s="17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2.0" customHeight="1">
      <c r="A578" s="33"/>
      <c r="B578" s="33"/>
      <c r="C578" s="17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2.0" customHeight="1">
      <c r="A579" s="33"/>
      <c r="B579" s="33"/>
      <c r="C579" s="17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2.0" customHeight="1">
      <c r="A580" s="33"/>
      <c r="B580" s="33"/>
      <c r="C580" s="17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2.0" customHeight="1">
      <c r="A581" s="33"/>
      <c r="B581" s="33"/>
      <c r="C581" s="17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2.0" customHeight="1">
      <c r="A582" s="33"/>
      <c r="B582" s="33"/>
      <c r="C582" s="17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2.0" customHeight="1">
      <c r="A583" s="33"/>
      <c r="B583" s="33"/>
      <c r="C583" s="17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2.0" customHeight="1">
      <c r="A584" s="33"/>
      <c r="B584" s="33"/>
      <c r="C584" s="17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2.0" customHeight="1">
      <c r="A585" s="33"/>
      <c r="B585" s="33"/>
      <c r="C585" s="17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2.0" customHeight="1">
      <c r="A586" s="33"/>
      <c r="B586" s="33"/>
      <c r="C586" s="17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2.0" customHeight="1">
      <c r="A587" s="33"/>
      <c r="B587" s="33"/>
      <c r="C587" s="17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2.0" customHeight="1">
      <c r="A588" s="33"/>
      <c r="B588" s="33"/>
      <c r="C588" s="17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2.0" customHeight="1">
      <c r="A589" s="33"/>
      <c r="B589" s="33"/>
      <c r="C589" s="17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2.0" customHeight="1">
      <c r="A590" s="33"/>
      <c r="B590" s="33"/>
      <c r="C590" s="17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2.0" customHeight="1">
      <c r="A591" s="33"/>
      <c r="B591" s="33"/>
      <c r="C591" s="17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2.0" customHeight="1">
      <c r="A592" s="33"/>
      <c r="B592" s="33"/>
      <c r="C592" s="17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2.0" customHeight="1">
      <c r="A593" s="33"/>
      <c r="B593" s="33"/>
      <c r="C593" s="17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2.0" customHeight="1">
      <c r="A594" s="33"/>
      <c r="B594" s="33"/>
      <c r="C594" s="17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2.0" customHeight="1">
      <c r="A595" s="33"/>
      <c r="B595" s="33"/>
      <c r="C595" s="17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2.0" customHeight="1">
      <c r="A596" s="33"/>
      <c r="B596" s="33"/>
      <c r="C596" s="17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2.0" customHeight="1">
      <c r="A597" s="33"/>
      <c r="B597" s="33"/>
      <c r="C597" s="17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2.0" customHeight="1">
      <c r="A598" s="33"/>
      <c r="B598" s="33"/>
      <c r="C598" s="17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2.0" customHeight="1">
      <c r="A599" s="33"/>
      <c r="B599" s="33"/>
      <c r="C599" s="17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2.0" customHeight="1">
      <c r="A600" s="33"/>
      <c r="B600" s="33"/>
      <c r="C600" s="17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2.0" customHeight="1">
      <c r="A601" s="33"/>
      <c r="B601" s="33"/>
      <c r="C601" s="17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2.0" customHeight="1">
      <c r="A602" s="33"/>
      <c r="B602" s="33"/>
      <c r="C602" s="17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2.0" customHeight="1">
      <c r="A603" s="33"/>
      <c r="B603" s="33"/>
      <c r="C603" s="17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2.0" customHeight="1">
      <c r="A604" s="33"/>
      <c r="B604" s="33"/>
      <c r="C604" s="17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2.0" customHeight="1">
      <c r="A605" s="33"/>
      <c r="B605" s="33"/>
      <c r="C605" s="17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2.0" customHeight="1">
      <c r="A606" s="33"/>
      <c r="B606" s="33"/>
      <c r="C606" s="17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2.0" customHeight="1">
      <c r="A607" s="33"/>
      <c r="B607" s="33"/>
      <c r="C607" s="17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2.0" customHeight="1">
      <c r="A608" s="33"/>
      <c r="B608" s="33"/>
      <c r="C608" s="17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2.0" customHeight="1">
      <c r="A609" s="33"/>
      <c r="B609" s="33"/>
      <c r="C609" s="17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2.0" customHeight="1">
      <c r="A610" s="33"/>
      <c r="B610" s="33"/>
      <c r="C610" s="17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2.0" customHeight="1">
      <c r="A611" s="33"/>
      <c r="B611" s="33"/>
      <c r="C611" s="17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2.0" customHeight="1">
      <c r="A612" s="33"/>
      <c r="B612" s="33"/>
      <c r="C612" s="17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2.0" customHeight="1">
      <c r="A613" s="33"/>
      <c r="B613" s="33"/>
      <c r="C613" s="17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2.0" customHeight="1">
      <c r="A614" s="33"/>
      <c r="B614" s="33"/>
      <c r="C614" s="17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2.0" customHeight="1">
      <c r="A615" s="33"/>
      <c r="B615" s="33"/>
      <c r="C615" s="17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2.0" customHeight="1">
      <c r="A616" s="33"/>
      <c r="B616" s="33"/>
      <c r="C616" s="17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2.0" customHeight="1">
      <c r="A617" s="33"/>
      <c r="B617" s="33"/>
      <c r="C617" s="17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2.0" customHeight="1">
      <c r="A618" s="33"/>
      <c r="B618" s="33"/>
      <c r="C618" s="17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2.0" customHeight="1">
      <c r="A619" s="33"/>
      <c r="B619" s="33"/>
      <c r="C619" s="17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2.0" customHeight="1">
      <c r="A620" s="33"/>
      <c r="B620" s="33"/>
      <c r="C620" s="17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2.0" customHeight="1">
      <c r="A621" s="33"/>
      <c r="B621" s="33"/>
      <c r="C621" s="17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2.0" customHeight="1">
      <c r="A622" s="33"/>
      <c r="B622" s="33"/>
      <c r="C622" s="17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2.0" customHeight="1">
      <c r="A623" s="33"/>
      <c r="B623" s="33"/>
      <c r="C623" s="17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2.0" customHeight="1">
      <c r="A624" s="33"/>
      <c r="B624" s="33"/>
      <c r="C624" s="17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2.0" customHeight="1">
      <c r="A625" s="33"/>
      <c r="B625" s="33"/>
      <c r="C625" s="17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2.0" customHeight="1">
      <c r="A626" s="33"/>
      <c r="B626" s="33"/>
      <c r="C626" s="17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2.0" customHeight="1">
      <c r="A627" s="33"/>
      <c r="B627" s="33"/>
      <c r="C627" s="17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2.0" customHeight="1">
      <c r="A628" s="33"/>
      <c r="B628" s="33"/>
      <c r="C628" s="17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2.0" customHeight="1">
      <c r="A629" s="33"/>
      <c r="B629" s="33"/>
      <c r="C629" s="17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2.0" customHeight="1">
      <c r="A630" s="33"/>
      <c r="B630" s="33"/>
      <c r="C630" s="17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2.0" customHeight="1">
      <c r="A631" s="33"/>
      <c r="B631" s="33"/>
      <c r="C631" s="17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2.0" customHeight="1">
      <c r="A632" s="33"/>
      <c r="B632" s="33"/>
      <c r="C632" s="17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2.0" customHeight="1">
      <c r="A633" s="33"/>
      <c r="B633" s="33"/>
      <c r="C633" s="17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2.0" customHeight="1">
      <c r="A634" s="33"/>
      <c r="B634" s="33"/>
      <c r="C634" s="17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2.0" customHeight="1">
      <c r="A635" s="33"/>
      <c r="B635" s="33"/>
      <c r="C635" s="17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2.0" customHeight="1">
      <c r="A636" s="33"/>
      <c r="B636" s="33"/>
      <c r="C636" s="17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2.0" customHeight="1">
      <c r="A637" s="33"/>
      <c r="B637" s="33"/>
      <c r="C637" s="17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2.0" customHeight="1">
      <c r="A638" s="33"/>
      <c r="B638" s="33"/>
      <c r="C638" s="17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2.0" customHeight="1">
      <c r="A639" s="33"/>
      <c r="B639" s="33"/>
      <c r="C639" s="17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2.0" customHeight="1">
      <c r="A640" s="33"/>
      <c r="B640" s="33"/>
      <c r="C640" s="17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2.0" customHeight="1">
      <c r="A641" s="33"/>
      <c r="B641" s="33"/>
      <c r="C641" s="17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2.0" customHeight="1">
      <c r="A642" s="33"/>
      <c r="B642" s="33"/>
      <c r="C642" s="17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2.0" customHeight="1">
      <c r="A643" s="33"/>
      <c r="B643" s="33"/>
      <c r="C643" s="17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2.0" customHeight="1">
      <c r="A644" s="33"/>
      <c r="B644" s="33"/>
      <c r="C644" s="17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2.0" customHeight="1">
      <c r="A645" s="33"/>
      <c r="B645" s="33"/>
      <c r="C645" s="17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2.0" customHeight="1">
      <c r="A646" s="33"/>
      <c r="B646" s="33"/>
      <c r="C646" s="17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2.0" customHeight="1">
      <c r="A647" s="33"/>
      <c r="B647" s="33"/>
      <c r="C647" s="17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2.0" customHeight="1">
      <c r="A648" s="33"/>
      <c r="B648" s="33"/>
      <c r="C648" s="17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2.0" customHeight="1">
      <c r="A649" s="33"/>
      <c r="B649" s="33"/>
      <c r="C649" s="17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2.0" customHeight="1">
      <c r="A650" s="33"/>
      <c r="B650" s="33"/>
      <c r="C650" s="17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2.0" customHeight="1">
      <c r="A651" s="33"/>
      <c r="B651" s="33"/>
      <c r="C651" s="17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2.0" customHeight="1">
      <c r="A652" s="33"/>
      <c r="B652" s="33"/>
      <c r="C652" s="17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2.0" customHeight="1">
      <c r="A653" s="33"/>
      <c r="B653" s="33"/>
      <c r="C653" s="17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2.0" customHeight="1">
      <c r="A654" s="33"/>
      <c r="B654" s="33"/>
      <c r="C654" s="17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2.0" customHeight="1">
      <c r="A655" s="33"/>
      <c r="B655" s="33"/>
      <c r="C655" s="17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2.0" customHeight="1">
      <c r="A656" s="33"/>
      <c r="B656" s="33"/>
      <c r="C656" s="17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2.0" customHeight="1">
      <c r="A657" s="33"/>
      <c r="B657" s="33"/>
      <c r="C657" s="17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2.0" customHeight="1">
      <c r="A658" s="33"/>
      <c r="B658" s="33"/>
      <c r="C658" s="17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2.0" customHeight="1">
      <c r="A659" s="33"/>
      <c r="B659" s="33"/>
      <c r="C659" s="17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2.0" customHeight="1">
      <c r="A660" s="33"/>
      <c r="B660" s="33"/>
      <c r="C660" s="17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2.0" customHeight="1">
      <c r="A661" s="33"/>
      <c r="B661" s="33"/>
      <c r="C661" s="17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2.0" customHeight="1">
      <c r="A662" s="33"/>
      <c r="B662" s="33"/>
      <c r="C662" s="17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2.0" customHeight="1">
      <c r="A663" s="33"/>
      <c r="B663" s="33"/>
      <c r="C663" s="17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2.0" customHeight="1">
      <c r="A664" s="33"/>
      <c r="B664" s="33"/>
      <c r="C664" s="17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2.0" customHeight="1">
      <c r="A665" s="33"/>
      <c r="B665" s="33"/>
      <c r="C665" s="17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2.0" customHeight="1">
      <c r="A666" s="33"/>
      <c r="B666" s="33"/>
      <c r="C666" s="17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2.0" customHeight="1">
      <c r="A667" s="33"/>
      <c r="B667" s="33"/>
      <c r="C667" s="17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2.0" customHeight="1">
      <c r="A668" s="33"/>
      <c r="B668" s="33"/>
      <c r="C668" s="17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2.0" customHeight="1">
      <c r="A669" s="33"/>
      <c r="B669" s="33"/>
      <c r="C669" s="17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2.0" customHeight="1">
      <c r="A670" s="33"/>
      <c r="B670" s="33"/>
      <c r="C670" s="17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2.0" customHeight="1">
      <c r="A671" s="33"/>
      <c r="B671" s="33"/>
      <c r="C671" s="17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2.0" customHeight="1">
      <c r="A672" s="33"/>
      <c r="B672" s="33"/>
      <c r="C672" s="17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2.0" customHeight="1">
      <c r="A673" s="33"/>
      <c r="B673" s="33"/>
      <c r="C673" s="17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2.0" customHeight="1">
      <c r="A674" s="33"/>
      <c r="B674" s="33"/>
      <c r="C674" s="17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2.0" customHeight="1">
      <c r="A675" s="33"/>
      <c r="B675" s="33"/>
      <c r="C675" s="17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2.0" customHeight="1">
      <c r="A676" s="33"/>
      <c r="B676" s="33"/>
      <c r="C676" s="17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2.0" customHeight="1">
      <c r="A677" s="33"/>
      <c r="B677" s="33"/>
      <c r="C677" s="17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2.0" customHeight="1">
      <c r="A678" s="33"/>
      <c r="B678" s="33"/>
      <c r="C678" s="17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2.0" customHeight="1">
      <c r="A679" s="33"/>
      <c r="B679" s="33"/>
      <c r="C679" s="17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2.0" customHeight="1">
      <c r="A680" s="33"/>
      <c r="B680" s="33"/>
      <c r="C680" s="17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2.0" customHeight="1">
      <c r="A681" s="33"/>
      <c r="B681" s="33"/>
      <c r="C681" s="17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2.0" customHeight="1">
      <c r="A682" s="33"/>
      <c r="B682" s="33"/>
      <c r="C682" s="17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2.0" customHeight="1">
      <c r="A683" s="33"/>
      <c r="B683" s="33"/>
      <c r="C683" s="17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2.0" customHeight="1">
      <c r="A684" s="33"/>
      <c r="B684" s="33"/>
      <c r="C684" s="17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2.0" customHeight="1">
      <c r="A685" s="33"/>
      <c r="B685" s="33"/>
      <c r="C685" s="17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2.0" customHeight="1">
      <c r="A686" s="33"/>
      <c r="B686" s="33"/>
      <c r="C686" s="17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2.0" customHeight="1">
      <c r="A687" s="33"/>
      <c r="B687" s="33"/>
      <c r="C687" s="17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2.0" customHeight="1">
      <c r="A688" s="33"/>
      <c r="B688" s="33"/>
      <c r="C688" s="17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2.0" customHeight="1">
      <c r="A689" s="33"/>
      <c r="B689" s="33"/>
      <c r="C689" s="17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2.0" customHeight="1">
      <c r="A690" s="33"/>
      <c r="B690" s="33"/>
      <c r="C690" s="17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2.0" customHeight="1">
      <c r="A691" s="33"/>
      <c r="B691" s="33"/>
      <c r="C691" s="17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2.0" customHeight="1">
      <c r="A692" s="33"/>
      <c r="B692" s="33"/>
      <c r="C692" s="17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2.0" customHeight="1">
      <c r="A693" s="33"/>
      <c r="B693" s="33"/>
      <c r="C693" s="17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2.0" customHeight="1">
      <c r="A694" s="33"/>
      <c r="B694" s="33"/>
      <c r="C694" s="17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2.0" customHeight="1">
      <c r="A695" s="33"/>
      <c r="B695" s="33"/>
      <c r="C695" s="17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2.0" customHeight="1">
      <c r="A696" s="33"/>
      <c r="B696" s="33"/>
      <c r="C696" s="17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2.0" customHeight="1">
      <c r="A697" s="33"/>
      <c r="B697" s="33"/>
      <c r="C697" s="17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2.0" customHeight="1">
      <c r="A698" s="33"/>
      <c r="B698" s="33"/>
      <c r="C698" s="17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2.0" customHeight="1">
      <c r="A699" s="33"/>
      <c r="B699" s="33"/>
      <c r="C699" s="17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2.0" customHeight="1">
      <c r="A700" s="33"/>
      <c r="B700" s="33"/>
      <c r="C700" s="17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2.0" customHeight="1">
      <c r="A701" s="33"/>
      <c r="B701" s="33"/>
      <c r="C701" s="17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2.0" customHeight="1">
      <c r="A702" s="33"/>
      <c r="B702" s="33"/>
      <c r="C702" s="17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2.0" customHeight="1">
      <c r="A703" s="33"/>
      <c r="B703" s="33"/>
      <c r="C703" s="17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2.0" customHeight="1">
      <c r="A704" s="33"/>
      <c r="B704" s="33"/>
      <c r="C704" s="17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2.0" customHeight="1">
      <c r="A705" s="33"/>
      <c r="B705" s="33"/>
      <c r="C705" s="17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2.0" customHeight="1">
      <c r="A706" s="33"/>
      <c r="B706" s="33"/>
      <c r="C706" s="17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2.0" customHeight="1">
      <c r="A707" s="33"/>
      <c r="B707" s="33"/>
      <c r="C707" s="17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2.0" customHeight="1">
      <c r="A708" s="33"/>
      <c r="B708" s="33"/>
      <c r="C708" s="17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2.0" customHeight="1">
      <c r="A709" s="33"/>
      <c r="B709" s="33"/>
      <c r="C709" s="17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2.0" customHeight="1">
      <c r="A710" s="33"/>
      <c r="B710" s="33"/>
      <c r="C710" s="17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2.0" customHeight="1">
      <c r="A711" s="33"/>
      <c r="B711" s="33"/>
      <c r="C711" s="17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2.0" customHeight="1">
      <c r="A712" s="33"/>
      <c r="B712" s="33"/>
      <c r="C712" s="17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2.0" customHeight="1">
      <c r="A713" s="33"/>
      <c r="B713" s="33"/>
      <c r="C713" s="17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2.0" customHeight="1">
      <c r="A714" s="33"/>
      <c r="B714" s="33"/>
      <c r="C714" s="17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2.0" customHeight="1">
      <c r="A715" s="33"/>
      <c r="B715" s="33"/>
      <c r="C715" s="17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2.0" customHeight="1">
      <c r="A716" s="33"/>
      <c r="B716" s="33"/>
      <c r="C716" s="17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2.0" customHeight="1">
      <c r="A717" s="33"/>
      <c r="B717" s="33"/>
      <c r="C717" s="17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2.0" customHeight="1">
      <c r="A718" s="33"/>
      <c r="B718" s="33"/>
      <c r="C718" s="17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2.0" customHeight="1">
      <c r="A719" s="33"/>
      <c r="B719" s="33"/>
      <c r="C719" s="17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2.0" customHeight="1">
      <c r="A720" s="33"/>
      <c r="B720" s="33"/>
      <c r="C720" s="17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2.0" customHeight="1">
      <c r="A721" s="33"/>
      <c r="B721" s="33"/>
      <c r="C721" s="17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2.0" customHeight="1">
      <c r="A722" s="33"/>
      <c r="B722" s="33"/>
      <c r="C722" s="17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2.0" customHeight="1">
      <c r="A723" s="33"/>
      <c r="B723" s="33"/>
      <c r="C723" s="17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2.0" customHeight="1">
      <c r="A724" s="33"/>
      <c r="B724" s="33"/>
      <c r="C724" s="17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2.0" customHeight="1">
      <c r="A725" s="33"/>
      <c r="B725" s="33"/>
      <c r="C725" s="17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2.0" customHeight="1">
      <c r="A726" s="33"/>
      <c r="B726" s="33"/>
      <c r="C726" s="17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2.0" customHeight="1">
      <c r="A727" s="33"/>
      <c r="B727" s="33"/>
      <c r="C727" s="17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2.0" customHeight="1">
      <c r="A728" s="33"/>
      <c r="B728" s="33"/>
      <c r="C728" s="17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2.0" customHeight="1">
      <c r="A729" s="33"/>
      <c r="B729" s="33"/>
      <c r="C729" s="17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2.0" customHeight="1">
      <c r="A730" s="33"/>
      <c r="B730" s="33"/>
      <c r="C730" s="17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2.0" customHeight="1">
      <c r="A731" s="33"/>
      <c r="B731" s="33"/>
      <c r="C731" s="17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2.0" customHeight="1">
      <c r="A732" s="33"/>
      <c r="B732" s="33"/>
      <c r="C732" s="17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2.0" customHeight="1">
      <c r="A733" s="33"/>
      <c r="B733" s="33"/>
      <c r="C733" s="17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2.0" customHeight="1">
      <c r="A734" s="33"/>
      <c r="B734" s="33"/>
      <c r="C734" s="17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2.0" customHeight="1">
      <c r="A735" s="33"/>
      <c r="B735" s="33"/>
      <c r="C735" s="17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2.0" customHeight="1">
      <c r="A736" s="33"/>
      <c r="B736" s="33"/>
      <c r="C736" s="17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2.0" customHeight="1">
      <c r="A737" s="33"/>
      <c r="B737" s="33"/>
      <c r="C737" s="17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2.0" customHeight="1">
      <c r="A738" s="33"/>
      <c r="B738" s="33"/>
      <c r="C738" s="17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2.0" customHeight="1">
      <c r="A739" s="33"/>
      <c r="B739" s="33"/>
      <c r="C739" s="17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2.0" customHeight="1">
      <c r="A740" s="33"/>
      <c r="B740" s="33"/>
      <c r="C740" s="17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2.0" customHeight="1">
      <c r="A741" s="33"/>
      <c r="B741" s="33"/>
      <c r="C741" s="17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2.0" customHeight="1">
      <c r="A742" s="33"/>
      <c r="B742" s="33"/>
      <c r="C742" s="17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2.0" customHeight="1">
      <c r="A743" s="33"/>
      <c r="B743" s="33"/>
      <c r="C743" s="17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2.0" customHeight="1">
      <c r="A744" s="33"/>
      <c r="B744" s="33"/>
      <c r="C744" s="17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2.0" customHeight="1">
      <c r="A745" s="33"/>
      <c r="B745" s="33"/>
      <c r="C745" s="17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2.0" customHeight="1">
      <c r="A746" s="33"/>
      <c r="B746" s="33"/>
      <c r="C746" s="17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2.0" customHeight="1">
      <c r="A747" s="33"/>
      <c r="B747" s="33"/>
      <c r="C747" s="17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2.0" customHeight="1">
      <c r="A748" s="33"/>
      <c r="B748" s="33"/>
      <c r="C748" s="17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2.0" customHeight="1">
      <c r="A749" s="33"/>
      <c r="B749" s="33"/>
      <c r="C749" s="17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2.0" customHeight="1">
      <c r="A750" s="33"/>
      <c r="B750" s="33"/>
      <c r="C750" s="17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2.0" customHeight="1">
      <c r="A751" s="33"/>
      <c r="B751" s="33"/>
      <c r="C751" s="17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2.0" customHeight="1">
      <c r="A752" s="33"/>
      <c r="B752" s="33"/>
      <c r="C752" s="17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2.0" customHeight="1">
      <c r="A753" s="33"/>
      <c r="B753" s="33"/>
      <c r="C753" s="17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2.0" customHeight="1">
      <c r="A754" s="33"/>
      <c r="B754" s="33"/>
      <c r="C754" s="17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2.0" customHeight="1">
      <c r="A755" s="33"/>
      <c r="B755" s="33"/>
      <c r="C755" s="17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2.0" customHeight="1">
      <c r="A756" s="33"/>
      <c r="B756" s="33"/>
      <c r="C756" s="17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2.0" customHeight="1">
      <c r="A757" s="33"/>
      <c r="B757" s="33"/>
      <c r="C757" s="17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2.0" customHeight="1">
      <c r="A758" s="33"/>
      <c r="B758" s="33"/>
      <c r="C758" s="17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2.0" customHeight="1">
      <c r="A759" s="33"/>
      <c r="B759" s="33"/>
      <c r="C759" s="17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2.0" customHeight="1">
      <c r="A760" s="33"/>
      <c r="B760" s="33"/>
      <c r="C760" s="17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2.0" customHeight="1">
      <c r="A761" s="33"/>
      <c r="B761" s="33"/>
      <c r="C761" s="17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2.0" customHeight="1">
      <c r="A762" s="33"/>
      <c r="B762" s="33"/>
      <c r="C762" s="17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2.0" customHeight="1">
      <c r="A763" s="33"/>
      <c r="B763" s="33"/>
      <c r="C763" s="17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2.0" customHeight="1">
      <c r="A764" s="33"/>
      <c r="B764" s="33"/>
      <c r="C764" s="17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2.0" customHeight="1">
      <c r="A765" s="33"/>
      <c r="B765" s="33"/>
      <c r="C765" s="17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2.0" customHeight="1">
      <c r="A766" s="33"/>
      <c r="B766" s="33"/>
      <c r="C766" s="17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2.0" customHeight="1">
      <c r="A767" s="33"/>
      <c r="B767" s="33"/>
      <c r="C767" s="17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2.0" customHeight="1">
      <c r="A768" s="33"/>
      <c r="B768" s="33"/>
      <c r="C768" s="17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2.0" customHeight="1">
      <c r="A769" s="33"/>
      <c r="B769" s="33"/>
      <c r="C769" s="17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2.0" customHeight="1">
      <c r="A770" s="33"/>
      <c r="B770" s="33"/>
      <c r="C770" s="17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2.0" customHeight="1">
      <c r="A771" s="33"/>
      <c r="B771" s="33"/>
      <c r="C771" s="17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2.0" customHeight="1">
      <c r="A772" s="33"/>
      <c r="B772" s="33"/>
      <c r="C772" s="17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2.0" customHeight="1">
      <c r="A773" s="33"/>
      <c r="B773" s="33"/>
      <c r="C773" s="17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2.0" customHeight="1">
      <c r="A774" s="33"/>
      <c r="B774" s="33"/>
      <c r="C774" s="17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2.0" customHeight="1">
      <c r="A775" s="33"/>
      <c r="B775" s="33"/>
      <c r="C775" s="17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2.0" customHeight="1">
      <c r="A776" s="33"/>
      <c r="B776" s="33"/>
      <c r="C776" s="17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2.0" customHeight="1">
      <c r="A777" s="33"/>
      <c r="B777" s="33"/>
      <c r="C777" s="17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2.0" customHeight="1">
      <c r="A778" s="33"/>
      <c r="B778" s="33"/>
      <c r="C778" s="17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2.0" customHeight="1">
      <c r="A779" s="33"/>
      <c r="B779" s="33"/>
      <c r="C779" s="17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2.0" customHeight="1">
      <c r="A780" s="33"/>
      <c r="B780" s="33"/>
      <c r="C780" s="17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2.0" customHeight="1">
      <c r="A781" s="33"/>
      <c r="B781" s="33"/>
      <c r="C781" s="17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2.0" customHeight="1">
      <c r="A782" s="33"/>
      <c r="B782" s="33"/>
      <c r="C782" s="17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2.0" customHeight="1">
      <c r="A783" s="33"/>
      <c r="B783" s="33"/>
      <c r="C783" s="17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2.0" customHeight="1">
      <c r="A784" s="33"/>
      <c r="B784" s="33"/>
      <c r="C784" s="17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2.0" customHeight="1">
      <c r="A785" s="33"/>
      <c r="B785" s="33"/>
      <c r="C785" s="17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2.0" customHeight="1">
      <c r="A786" s="33"/>
      <c r="B786" s="33"/>
      <c r="C786" s="17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2.0" customHeight="1">
      <c r="A787" s="33"/>
      <c r="B787" s="33"/>
      <c r="C787" s="17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2.0" customHeight="1">
      <c r="A788" s="33"/>
      <c r="B788" s="33"/>
      <c r="C788" s="17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2.0" customHeight="1">
      <c r="A789" s="33"/>
      <c r="B789" s="33"/>
      <c r="C789" s="17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2.0" customHeight="1">
      <c r="A790" s="33"/>
      <c r="B790" s="33"/>
      <c r="C790" s="17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2.0" customHeight="1">
      <c r="A791" s="33"/>
      <c r="B791" s="33"/>
      <c r="C791" s="17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2.0" customHeight="1">
      <c r="A792" s="33"/>
      <c r="B792" s="33"/>
      <c r="C792" s="17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2.0" customHeight="1">
      <c r="A793" s="33"/>
      <c r="B793" s="33"/>
      <c r="C793" s="17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2.0" customHeight="1">
      <c r="A794" s="33"/>
      <c r="B794" s="33"/>
      <c r="C794" s="17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2.0" customHeight="1">
      <c r="A795" s="33"/>
      <c r="B795" s="33"/>
      <c r="C795" s="17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2.0" customHeight="1">
      <c r="A796" s="33"/>
      <c r="B796" s="33"/>
      <c r="C796" s="17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2.0" customHeight="1">
      <c r="A797" s="33"/>
      <c r="B797" s="33"/>
      <c r="C797" s="17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2.0" customHeight="1">
      <c r="A798" s="33"/>
      <c r="B798" s="33"/>
      <c r="C798" s="17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2.0" customHeight="1">
      <c r="A799" s="33"/>
      <c r="B799" s="33"/>
      <c r="C799" s="17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2.0" customHeight="1">
      <c r="A800" s="33"/>
      <c r="B800" s="33"/>
      <c r="C800" s="17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2.0" customHeight="1">
      <c r="A801" s="33"/>
      <c r="B801" s="33"/>
      <c r="C801" s="17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2.0" customHeight="1">
      <c r="A802" s="33"/>
      <c r="B802" s="33"/>
      <c r="C802" s="17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2.0" customHeight="1">
      <c r="A803" s="33"/>
      <c r="B803" s="33"/>
      <c r="C803" s="17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2.0" customHeight="1">
      <c r="A804" s="33"/>
      <c r="B804" s="33"/>
      <c r="C804" s="17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2.0" customHeight="1">
      <c r="A805" s="33"/>
      <c r="B805" s="33"/>
      <c r="C805" s="17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2.0" customHeight="1">
      <c r="A806" s="33"/>
      <c r="B806" s="33"/>
      <c r="C806" s="17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2.0" customHeight="1">
      <c r="A807" s="33"/>
      <c r="B807" s="33"/>
      <c r="C807" s="17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2.0" customHeight="1">
      <c r="A808" s="33"/>
      <c r="B808" s="33"/>
      <c r="C808" s="17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2.0" customHeight="1">
      <c r="A809" s="33"/>
      <c r="B809" s="33"/>
      <c r="C809" s="17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2.0" customHeight="1">
      <c r="A810" s="33"/>
      <c r="B810" s="33"/>
      <c r="C810" s="17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2.0" customHeight="1">
      <c r="A811" s="33"/>
      <c r="B811" s="33"/>
      <c r="C811" s="17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2.0" customHeight="1">
      <c r="A812" s="33"/>
      <c r="B812" s="33"/>
      <c r="C812" s="17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2.0" customHeight="1">
      <c r="A813" s="33"/>
      <c r="B813" s="33"/>
      <c r="C813" s="17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2.0" customHeight="1">
      <c r="A814" s="33"/>
      <c r="B814" s="33"/>
      <c r="C814" s="17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2.0" customHeight="1">
      <c r="A815" s="33"/>
      <c r="B815" s="33"/>
      <c r="C815" s="17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2.0" customHeight="1">
      <c r="A816" s="33"/>
      <c r="B816" s="33"/>
      <c r="C816" s="17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2.0" customHeight="1">
      <c r="A817" s="33"/>
      <c r="B817" s="33"/>
      <c r="C817" s="17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2.0" customHeight="1">
      <c r="A818" s="33"/>
      <c r="B818" s="33"/>
      <c r="C818" s="17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2.0" customHeight="1">
      <c r="A819" s="33"/>
      <c r="B819" s="33"/>
      <c r="C819" s="17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2.0" customHeight="1">
      <c r="A820" s="33"/>
      <c r="B820" s="33"/>
      <c r="C820" s="17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2.0" customHeight="1">
      <c r="A821" s="33"/>
      <c r="B821" s="33"/>
      <c r="C821" s="17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2.0" customHeight="1">
      <c r="A822" s="33"/>
      <c r="B822" s="33"/>
      <c r="C822" s="17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2.0" customHeight="1">
      <c r="A823" s="33"/>
      <c r="B823" s="33"/>
      <c r="C823" s="17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2.0" customHeight="1">
      <c r="A824" s="33"/>
      <c r="B824" s="33"/>
      <c r="C824" s="17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2.0" customHeight="1">
      <c r="A825" s="33"/>
      <c r="B825" s="33"/>
      <c r="C825" s="17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2.0" customHeight="1">
      <c r="A826" s="33"/>
      <c r="B826" s="33"/>
      <c r="C826" s="17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2.0" customHeight="1">
      <c r="A827" s="33"/>
      <c r="B827" s="33"/>
      <c r="C827" s="17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2.0" customHeight="1">
      <c r="A828" s="33"/>
      <c r="B828" s="33"/>
      <c r="C828" s="17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2.0" customHeight="1">
      <c r="A829" s="33"/>
      <c r="B829" s="33"/>
      <c r="C829" s="17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2.0" customHeight="1">
      <c r="A830" s="33"/>
      <c r="B830" s="33"/>
      <c r="C830" s="17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2.0" customHeight="1">
      <c r="A831" s="33"/>
      <c r="B831" s="33"/>
      <c r="C831" s="17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2.0" customHeight="1">
      <c r="A832" s="33"/>
      <c r="B832" s="33"/>
      <c r="C832" s="17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2.0" customHeight="1">
      <c r="A833" s="33"/>
      <c r="B833" s="33"/>
      <c r="C833" s="17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2.0" customHeight="1">
      <c r="A834" s="33"/>
      <c r="B834" s="33"/>
      <c r="C834" s="17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2.0" customHeight="1">
      <c r="A835" s="33"/>
      <c r="B835" s="33"/>
      <c r="C835" s="17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2.0" customHeight="1">
      <c r="A836" s="33"/>
      <c r="B836" s="33"/>
      <c r="C836" s="17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2.0" customHeight="1">
      <c r="A837" s="33"/>
      <c r="B837" s="33"/>
      <c r="C837" s="17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2.0" customHeight="1">
      <c r="A838" s="33"/>
      <c r="B838" s="33"/>
      <c r="C838" s="17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2.0" customHeight="1">
      <c r="A839" s="33"/>
      <c r="B839" s="33"/>
      <c r="C839" s="17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2.0" customHeight="1">
      <c r="A840" s="33"/>
      <c r="B840" s="33"/>
      <c r="C840" s="17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2.0" customHeight="1">
      <c r="A841" s="33"/>
      <c r="B841" s="33"/>
      <c r="C841" s="17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2.0" customHeight="1">
      <c r="A842" s="33"/>
      <c r="B842" s="33"/>
      <c r="C842" s="17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2.0" customHeight="1">
      <c r="A843" s="33"/>
      <c r="B843" s="33"/>
      <c r="C843" s="17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2.0" customHeight="1">
      <c r="A844" s="33"/>
      <c r="B844" s="33"/>
      <c r="C844" s="17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2.0" customHeight="1">
      <c r="A845" s="33"/>
      <c r="B845" s="33"/>
      <c r="C845" s="17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2.0" customHeight="1">
      <c r="A846" s="33"/>
      <c r="B846" s="33"/>
      <c r="C846" s="17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2.0" customHeight="1">
      <c r="A847" s="33"/>
      <c r="B847" s="33"/>
      <c r="C847" s="17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2.0" customHeight="1">
      <c r="A848" s="33"/>
      <c r="B848" s="33"/>
      <c r="C848" s="17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2.0" customHeight="1">
      <c r="A849" s="33"/>
      <c r="B849" s="33"/>
      <c r="C849" s="17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2.0" customHeight="1">
      <c r="A850" s="33"/>
      <c r="B850" s="33"/>
      <c r="C850" s="17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2.0" customHeight="1">
      <c r="A851" s="33"/>
      <c r="B851" s="33"/>
      <c r="C851" s="17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2.0" customHeight="1">
      <c r="A852" s="33"/>
      <c r="B852" s="33"/>
      <c r="C852" s="17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2.0" customHeight="1">
      <c r="A853" s="33"/>
      <c r="B853" s="33"/>
      <c r="C853" s="17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2.0" customHeight="1">
      <c r="A854" s="33"/>
      <c r="B854" s="33"/>
      <c r="C854" s="17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2.0" customHeight="1">
      <c r="A855" s="33"/>
      <c r="B855" s="33"/>
      <c r="C855" s="17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2.0" customHeight="1">
      <c r="A856" s="33"/>
      <c r="B856" s="33"/>
      <c r="C856" s="17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2.0" customHeight="1">
      <c r="A857" s="33"/>
      <c r="B857" s="33"/>
      <c r="C857" s="17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2.0" customHeight="1">
      <c r="A858" s="33"/>
      <c r="B858" s="33"/>
      <c r="C858" s="17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2.0" customHeight="1">
      <c r="A859" s="33"/>
      <c r="B859" s="33"/>
      <c r="C859" s="17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2.0" customHeight="1">
      <c r="A860" s="33"/>
      <c r="B860" s="33"/>
      <c r="C860" s="17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2.0" customHeight="1">
      <c r="A861" s="33"/>
      <c r="B861" s="33"/>
      <c r="C861" s="17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2.0" customHeight="1">
      <c r="A862" s="33"/>
      <c r="B862" s="33"/>
      <c r="C862" s="17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2.0" customHeight="1">
      <c r="A863" s="33"/>
      <c r="B863" s="33"/>
      <c r="C863" s="17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2.0" customHeight="1">
      <c r="A864" s="33"/>
      <c r="B864" s="33"/>
      <c r="C864" s="17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2.0" customHeight="1">
      <c r="A865" s="33"/>
      <c r="B865" s="33"/>
      <c r="C865" s="17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2.0" customHeight="1">
      <c r="A866" s="33"/>
      <c r="B866" s="33"/>
      <c r="C866" s="17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2.0" customHeight="1">
      <c r="A867" s="33"/>
      <c r="B867" s="33"/>
      <c r="C867" s="17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2.0" customHeight="1">
      <c r="A868" s="33"/>
      <c r="B868" s="33"/>
      <c r="C868" s="17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2.0" customHeight="1">
      <c r="A869" s="33"/>
      <c r="B869" s="33"/>
      <c r="C869" s="17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2.0" customHeight="1">
      <c r="A870" s="33"/>
      <c r="B870" s="33"/>
      <c r="C870" s="17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2.0" customHeight="1">
      <c r="A871" s="33"/>
      <c r="B871" s="33"/>
      <c r="C871" s="17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2.0" customHeight="1">
      <c r="A872" s="33"/>
      <c r="B872" s="33"/>
      <c r="C872" s="17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2.0" customHeight="1">
      <c r="A873" s="33"/>
      <c r="B873" s="33"/>
      <c r="C873" s="17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2.0" customHeight="1">
      <c r="A874" s="33"/>
      <c r="B874" s="33"/>
      <c r="C874" s="17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2.0" customHeight="1">
      <c r="A875" s="33"/>
      <c r="B875" s="33"/>
      <c r="C875" s="17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2.0" customHeight="1">
      <c r="A876" s="33"/>
      <c r="B876" s="33"/>
      <c r="C876" s="17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2.0" customHeight="1">
      <c r="A877" s="33"/>
      <c r="B877" s="33"/>
      <c r="C877" s="17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2.0" customHeight="1">
      <c r="A878" s="33"/>
      <c r="B878" s="33"/>
      <c r="C878" s="17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2.0" customHeight="1">
      <c r="A879" s="33"/>
      <c r="B879" s="33"/>
      <c r="C879" s="17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2.0" customHeight="1">
      <c r="A880" s="33"/>
      <c r="B880" s="33"/>
      <c r="C880" s="17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2.0" customHeight="1">
      <c r="A881" s="33"/>
      <c r="B881" s="33"/>
      <c r="C881" s="17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2.0" customHeight="1">
      <c r="A882" s="33"/>
      <c r="B882" s="33"/>
      <c r="C882" s="17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2.0" customHeight="1">
      <c r="A883" s="33"/>
      <c r="B883" s="33"/>
      <c r="C883" s="17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2.0" customHeight="1">
      <c r="A884" s="33"/>
      <c r="B884" s="33"/>
      <c r="C884" s="17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2.0" customHeight="1">
      <c r="A885" s="33"/>
      <c r="B885" s="33"/>
      <c r="C885" s="17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2.0" customHeight="1">
      <c r="A886" s="33"/>
      <c r="B886" s="33"/>
      <c r="C886" s="17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2.0" customHeight="1">
      <c r="A887" s="33"/>
      <c r="B887" s="33"/>
      <c r="C887" s="17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2.0" customHeight="1">
      <c r="A888" s="33"/>
      <c r="B888" s="33"/>
      <c r="C888" s="17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2.0" customHeight="1">
      <c r="A889" s="33"/>
      <c r="B889" s="33"/>
      <c r="C889" s="17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2.0" customHeight="1">
      <c r="A890" s="33"/>
      <c r="B890" s="33"/>
      <c r="C890" s="17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2.0" customHeight="1">
      <c r="A891" s="33"/>
      <c r="B891" s="33"/>
      <c r="C891" s="17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2.0" customHeight="1">
      <c r="A892" s="33"/>
      <c r="B892" s="33"/>
      <c r="C892" s="17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2.0" customHeight="1">
      <c r="A893" s="33"/>
      <c r="B893" s="33"/>
      <c r="C893" s="17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2.0" customHeight="1">
      <c r="A894" s="33"/>
      <c r="B894" s="33"/>
      <c r="C894" s="17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2.0" customHeight="1">
      <c r="A895" s="33"/>
      <c r="B895" s="33"/>
      <c r="C895" s="17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2.0" customHeight="1">
      <c r="A896" s="33"/>
      <c r="B896" s="33"/>
      <c r="C896" s="17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2.0" customHeight="1">
      <c r="A897" s="33"/>
      <c r="B897" s="33"/>
      <c r="C897" s="17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2.0" customHeight="1">
      <c r="A898" s="33"/>
      <c r="B898" s="33"/>
      <c r="C898" s="17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2.0" customHeight="1">
      <c r="A899" s="33"/>
      <c r="B899" s="33"/>
      <c r="C899" s="17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2.0" customHeight="1">
      <c r="A900" s="33"/>
      <c r="B900" s="33"/>
      <c r="C900" s="17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2.0" customHeight="1">
      <c r="A901" s="33"/>
      <c r="B901" s="33"/>
      <c r="C901" s="17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2.0" customHeight="1">
      <c r="A902" s="33"/>
      <c r="B902" s="33"/>
      <c r="C902" s="17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2.0" customHeight="1">
      <c r="A903" s="33"/>
      <c r="B903" s="33"/>
      <c r="C903" s="17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2.0" customHeight="1">
      <c r="A904" s="33"/>
      <c r="B904" s="33"/>
      <c r="C904" s="17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2.0" customHeight="1">
      <c r="A905" s="33"/>
      <c r="B905" s="33"/>
      <c r="C905" s="17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2.0" customHeight="1">
      <c r="A906" s="33"/>
      <c r="B906" s="33"/>
      <c r="C906" s="17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2.0" customHeight="1">
      <c r="A907" s="33"/>
      <c r="B907" s="33"/>
      <c r="C907" s="17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2.0" customHeight="1">
      <c r="A908" s="33"/>
      <c r="B908" s="33"/>
      <c r="C908" s="17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2.0" customHeight="1">
      <c r="A909" s="33"/>
      <c r="B909" s="33"/>
      <c r="C909" s="17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2.0" customHeight="1">
      <c r="A910" s="33"/>
      <c r="B910" s="33"/>
      <c r="C910" s="17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2.0" customHeight="1">
      <c r="A911" s="33"/>
      <c r="B911" s="33"/>
      <c r="C911" s="17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2.0" customHeight="1">
      <c r="A912" s="33"/>
      <c r="B912" s="33"/>
      <c r="C912" s="17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2.0" customHeight="1">
      <c r="A913" s="33"/>
      <c r="B913" s="33"/>
      <c r="C913" s="17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2.0" customHeight="1">
      <c r="A914" s="33"/>
      <c r="B914" s="33"/>
      <c r="C914" s="17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2.0" customHeight="1">
      <c r="A915" s="33"/>
      <c r="B915" s="33"/>
      <c r="C915" s="17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2.0" customHeight="1">
      <c r="A916" s="33"/>
      <c r="B916" s="33"/>
      <c r="C916" s="17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2.0" customHeight="1">
      <c r="A917" s="33"/>
      <c r="B917" s="33"/>
      <c r="C917" s="17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2.0" customHeight="1">
      <c r="A918" s="33"/>
      <c r="B918" s="33"/>
      <c r="C918" s="17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2.0" customHeight="1">
      <c r="A919" s="33"/>
      <c r="B919" s="33"/>
      <c r="C919" s="17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2.0" customHeight="1">
      <c r="A920" s="33"/>
      <c r="B920" s="33"/>
      <c r="C920" s="17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2.0" customHeight="1">
      <c r="A921" s="33"/>
      <c r="B921" s="33"/>
      <c r="C921" s="17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2.0" customHeight="1">
      <c r="A922" s="33"/>
      <c r="B922" s="33"/>
      <c r="C922" s="17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2.0" customHeight="1">
      <c r="A923" s="33"/>
      <c r="B923" s="33"/>
      <c r="C923" s="17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2.0" customHeight="1">
      <c r="A924" s="33"/>
      <c r="B924" s="33"/>
      <c r="C924" s="17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2.0" customHeight="1">
      <c r="A925" s="33"/>
      <c r="B925" s="33"/>
      <c r="C925" s="17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2.0" customHeight="1">
      <c r="A926" s="33"/>
      <c r="B926" s="33"/>
      <c r="C926" s="17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2.0" customHeight="1">
      <c r="A927" s="33"/>
      <c r="B927" s="33"/>
      <c r="C927" s="17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2.0" customHeight="1">
      <c r="A928" s="33"/>
      <c r="B928" s="33"/>
      <c r="C928" s="17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2.0" customHeight="1">
      <c r="A929" s="33"/>
      <c r="B929" s="33"/>
      <c r="C929" s="17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2.0" customHeight="1">
      <c r="A930" s="33"/>
      <c r="B930" s="33"/>
      <c r="C930" s="17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2.0" customHeight="1">
      <c r="A931" s="33"/>
      <c r="B931" s="33"/>
      <c r="C931" s="17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2.0" customHeight="1">
      <c r="A932" s="33"/>
      <c r="B932" s="33"/>
      <c r="C932" s="17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2.0" customHeight="1">
      <c r="A933" s="33"/>
      <c r="B933" s="33"/>
      <c r="C933" s="17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2.0" customHeight="1">
      <c r="A934" s="33"/>
      <c r="B934" s="33"/>
      <c r="C934" s="17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2.0" customHeight="1">
      <c r="A935" s="33"/>
      <c r="B935" s="33"/>
      <c r="C935" s="17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2.0" customHeight="1">
      <c r="A936" s="33"/>
      <c r="B936" s="33"/>
      <c r="C936" s="17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2.0" customHeight="1">
      <c r="A937" s="33"/>
      <c r="B937" s="33"/>
      <c r="C937" s="17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2.0" customHeight="1">
      <c r="A938" s="33"/>
      <c r="B938" s="33"/>
      <c r="C938" s="17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2.0" customHeight="1">
      <c r="A939" s="33"/>
      <c r="B939" s="33"/>
      <c r="C939" s="17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2.0" customHeight="1">
      <c r="A940" s="33"/>
      <c r="B940" s="33"/>
      <c r="C940" s="17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2.0" customHeight="1">
      <c r="A941" s="33"/>
      <c r="B941" s="33"/>
      <c r="C941" s="17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2.0" customHeight="1">
      <c r="A942" s="33"/>
      <c r="B942" s="33"/>
      <c r="C942" s="17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2.0" customHeight="1">
      <c r="A943" s="33"/>
      <c r="B943" s="33"/>
      <c r="C943" s="17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2.0" customHeight="1">
      <c r="A944" s="33"/>
      <c r="B944" s="33"/>
      <c r="C944" s="17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2.0" customHeight="1">
      <c r="A945" s="33"/>
      <c r="B945" s="33"/>
      <c r="C945" s="17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2.0" customHeight="1">
      <c r="A946" s="33"/>
      <c r="B946" s="33"/>
      <c r="C946" s="17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2.0" customHeight="1">
      <c r="A947" s="33"/>
      <c r="B947" s="33"/>
      <c r="C947" s="17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2.0" customHeight="1">
      <c r="A948" s="33"/>
      <c r="B948" s="33"/>
      <c r="C948" s="17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2.0" customHeight="1">
      <c r="A949" s="33"/>
      <c r="B949" s="33"/>
      <c r="C949" s="17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2.0" customHeight="1">
      <c r="A950" s="33"/>
      <c r="B950" s="33"/>
      <c r="C950" s="17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2.0" customHeight="1">
      <c r="A951" s="33"/>
      <c r="B951" s="33"/>
      <c r="C951" s="17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2.0" customHeight="1">
      <c r="A952" s="33"/>
      <c r="B952" s="33"/>
      <c r="C952" s="17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2.0" customHeight="1">
      <c r="A953" s="33"/>
      <c r="B953" s="33"/>
      <c r="C953" s="17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2.0" customHeight="1">
      <c r="A954" s="33"/>
      <c r="B954" s="33"/>
      <c r="C954" s="17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2.0" customHeight="1">
      <c r="A955" s="33"/>
      <c r="B955" s="33"/>
      <c r="C955" s="17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2.0" customHeight="1">
      <c r="A956" s="33"/>
      <c r="B956" s="33"/>
      <c r="C956" s="17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2.0" customHeight="1">
      <c r="A957" s="33"/>
      <c r="B957" s="33"/>
      <c r="C957" s="17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2.0" customHeight="1">
      <c r="A958" s="33"/>
      <c r="B958" s="33"/>
      <c r="C958" s="17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2.0" customHeight="1">
      <c r="A959" s="33"/>
      <c r="B959" s="33"/>
      <c r="C959" s="17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2.0" customHeight="1">
      <c r="A960" s="33"/>
      <c r="B960" s="33"/>
      <c r="C960" s="17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2.0" customHeight="1">
      <c r="A961" s="33"/>
      <c r="B961" s="33"/>
      <c r="C961" s="17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2.0" customHeight="1">
      <c r="A962" s="33"/>
      <c r="B962" s="33"/>
      <c r="C962" s="17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2.0" customHeight="1">
      <c r="A963" s="33"/>
      <c r="B963" s="33"/>
      <c r="C963" s="17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2.0" customHeight="1">
      <c r="A964" s="33"/>
      <c r="B964" s="33"/>
      <c r="C964" s="17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2.0" customHeight="1">
      <c r="A965" s="33"/>
      <c r="B965" s="33"/>
      <c r="C965" s="17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2.0" customHeight="1">
      <c r="A966" s="33"/>
      <c r="B966" s="33"/>
      <c r="C966" s="17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2.0" customHeight="1">
      <c r="A967" s="33"/>
      <c r="B967" s="33"/>
      <c r="C967" s="17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2.0" customHeight="1">
      <c r="A968" s="33"/>
      <c r="B968" s="33"/>
      <c r="C968" s="17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2.0" customHeight="1">
      <c r="A969" s="33"/>
      <c r="B969" s="33"/>
      <c r="C969" s="17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2.0" customHeight="1">
      <c r="A970" s="33"/>
      <c r="B970" s="33"/>
      <c r="C970" s="17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2.0" customHeight="1">
      <c r="A971" s="33"/>
      <c r="B971" s="33"/>
      <c r="C971" s="17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2.0" customHeight="1">
      <c r="A972" s="33"/>
      <c r="B972" s="33"/>
      <c r="C972" s="17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2.0" customHeight="1">
      <c r="A973" s="33"/>
      <c r="B973" s="33"/>
      <c r="C973" s="17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2.0" customHeight="1">
      <c r="A974" s="33"/>
      <c r="B974" s="33"/>
      <c r="C974" s="17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2.0" customHeight="1">
      <c r="A975" s="33"/>
      <c r="B975" s="33"/>
      <c r="C975" s="17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2.0" customHeight="1">
      <c r="A976" s="33"/>
      <c r="B976" s="33"/>
      <c r="C976" s="17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2.0" customHeight="1">
      <c r="A977" s="33"/>
      <c r="B977" s="33"/>
      <c r="C977" s="17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2.0" customHeight="1">
      <c r="A978" s="33"/>
      <c r="B978" s="33"/>
      <c r="C978" s="17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2.0" customHeight="1">
      <c r="A979" s="33"/>
      <c r="B979" s="33"/>
      <c r="C979" s="17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2.0" customHeight="1">
      <c r="A980" s="33"/>
      <c r="B980" s="33"/>
      <c r="C980" s="17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2.0" customHeight="1">
      <c r="A981" s="33"/>
      <c r="B981" s="33"/>
      <c r="C981" s="17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2.0" customHeight="1">
      <c r="A982" s="33"/>
      <c r="B982" s="33"/>
      <c r="C982" s="17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2.0" customHeight="1">
      <c r="A983" s="33"/>
      <c r="B983" s="33"/>
      <c r="C983" s="17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2.0" customHeight="1">
      <c r="A984" s="33"/>
      <c r="B984" s="33"/>
      <c r="C984" s="17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2.0" customHeight="1">
      <c r="A985" s="33"/>
      <c r="B985" s="33"/>
      <c r="C985" s="17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2.0" customHeight="1">
      <c r="A986" s="33"/>
      <c r="B986" s="33"/>
      <c r="C986" s="17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2.0" customHeight="1">
      <c r="A987" s="33"/>
      <c r="B987" s="33"/>
      <c r="C987" s="17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2.0" customHeight="1">
      <c r="A988" s="33"/>
      <c r="B988" s="33"/>
      <c r="C988" s="17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2.0" customHeight="1">
      <c r="A989" s="33"/>
      <c r="B989" s="33"/>
      <c r="C989" s="17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2.0" customHeight="1">
      <c r="A990" s="33"/>
      <c r="B990" s="33"/>
      <c r="C990" s="17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2.0" customHeight="1">
      <c r="A991" s="33"/>
      <c r="B991" s="33"/>
      <c r="C991" s="17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2.0" customHeight="1">
      <c r="A992" s="33"/>
      <c r="B992" s="33"/>
      <c r="C992" s="17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2.0" customHeight="1">
      <c r="A993" s="33"/>
      <c r="B993" s="33"/>
      <c r="C993" s="17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2.0" customHeight="1">
      <c r="A994" s="33"/>
      <c r="B994" s="33"/>
      <c r="C994" s="17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2.0" customHeight="1">
      <c r="A995" s="33"/>
      <c r="B995" s="33"/>
      <c r="C995" s="17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2.0" customHeight="1">
      <c r="A996" s="33"/>
      <c r="B996" s="33"/>
      <c r="C996" s="17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2.0" customHeight="1">
      <c r="A997" s="33"/>
      <c r="B997" s="33"/>
      <c r="C997" s="17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2.0" customHeight="1">
      <c r="A998" s="33"/>
      <c r="B998" s="33"/>
      <c r="C998" s="17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2.0" customHeight="1">
      <c r="A999" s="33"/>
      <c r="B999" s="33"/>
      <c r="C999" s="17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2.0" customHeight="1">
      <c r="A1000" s="33"/>
      <c r="B1000" s="33"/>
      <c r="C1000" s="17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2.5"/>
    <col customWidth="1" min="3" max="3" width="52.25"/>
    <col customWidth="1" min="4" max="4" width="17.75"/>
    <col customWidth="1" min="5" max="5" width="12.25"/>
    <col customWidth="1" min="6" max="6" width="29.88"/>
    <col customWidth="1" min="7" max="26" width="12.5"/>
  </cols>
  <sheetData>
    <row r="1" ht="15.75" customHeight="1">
      <c r="A1" s="174" t="s">
        <v>178</v>
      </c>
      <c r="B1" s="175" t="s">
        <v>3</v>
      </c>
      <c r="C1" s="176" t="s">
        <v>179</v>
      </c>
      <c r="D1" s="176" t="s">
        <v>180</v>
      </c>
      <c r="E1" s="177" t="s">
        <v>181</v>
      </c>
      <c r="F1" s="177" t="s">
        <v>182</v>
      </c>
      <c r="G1" s="177" t="s">
        <v>183</v>
      </c>
      <c r="H1" s="177" t="s">
        <v>184</v>
      </c>
      <c r="I1" s="177" t="s">
        <v>185</v>
      </c>
      <c r="J1" s="177" t="s">
        <v>186</v>
      </c>
      <c r="K1" s="178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75" customHeight="1">
      <c r="A2" s="150"/>
      <c r="B2" s="157"/>
      <c r="C2" s="179"/>
      <c r="D2" s="180" t="str">
        <f t="shared" ref="D2:D12" si="1">E2*0.1</f>
        <v>#DIV/0!</v>
      </c>
      <c r="E2" s="181" t="str">
        <f t="shared" ref="E2:E12" si="2">B2/$B$15</f>
        <v>#DIV/0!</v>
      </c>
      <c r="F2" s="150"/>
      <c r="G2" s="33"/>
      <c r="H2" s="150"/>
      <c r="I2" s="150"/>
      <c r="J2" s="150"/>
      <c r="K2" s="18"/>
      <c r="L2" s="182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>
      <c r="A3" s="183"/>
      <c r="B3" s="184"/>
      <c r="C3" s="179"/>
      <c r="D3" s="180" t="str">
        <f t="shared" si="1"/>
        <v>#DIV/0!</v>
      </c>
      <c r="E3" s="181" t="str">
        <f t="shared" si="2"/>
        <v>#DIV/0!</v>
      </c>
      <c r="F3" s="150"/>
      <c r="G3" s="33"/>
      <c r="H3" s="150"/>
      <c r="I3" s="150"/>
      <c r="J3" s="150"/>
      <c r="K3" s="18"/>
      <c r="L3" s="182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ht="15.75" customHeight="1">
      <c r="A4" s="183"/>
      <c r="B4" s="184"/>
      <c r="C4" s="179"/>
      <c r="D4" s="180" t="str">
        <f t="shared" si="1"/>
        <v>#DIV/0!</v>
      </c>
      <c r="E4" s="181" t="str">
        <f t="shared" si="2"/>
        <v>#DIV/0!</v>
      </c>
      <c r="F4" s="150"/>
      <c r="G4" s="33"/>
      <c r="H4" s="150"/>
      <c r="I4" s="150"/>
      <c r="J4" s="150"/>
      <c r="K4" s="18"/>
      <c r="L4" s="182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ht="15.75" customHeight="1">
      <c r="A5" s="150"/>
      <c r="B5" s="157"/>
      <c r="C5" s="179"/>
      <c r="D5" s="180" t="str">
        <f t="shared" si="1"/>
        <v>#DIV/0!</v>
      </c>
      <c r="E5" s="181" t="str">
        <f t="shared" si="2"/>
        <v>#DIV/0!</v>
      </c>
      <c r="F5" s="150"/>
      <c r="G5" s="33"/>
      <c r="H5" s="150"/>
      <c r="I5" s="150"/>
      <c r="J5" s="33"/>
      <c r="K5" s="18"/>
      <c r="L5" s="18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5.75" customHeight="1">
      <c r="A6" s="150"/>
      <c r="B6" s="157"/>
      <c r="C6" s="179"/>
      <c r="D6" s="180" t="str">
        <f t="shared" si="1"/>
        <v>#DIV/0!</v>
      </c>
      <c r="E6" s="181" t="str">
        <f t="shared" si="2"/>
        <v>#DIV/0!</v>
      </c>
      <c r="F6" s="150"/>
      <c r="G6" s="33"/>
      <c r="H6" s="150"/>
      <c r="I6" s="150"/>
      <c r="J6" s="150"/>
      <c r="K6" s="18"/>
      <c r="L6" s="182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75" customHeight="1">
      <c r="A7" s="183"/>
      <c r="B7" s="184"/>
      <c r="C7" s="179"/>
      <c r="D7" s="180" t="str">
        <f t="shared" si="1"/>
        <v>#DIV/0!</v>
      </c>
      <c r="E7" s="181" t="str">
        <f t="shared" si="2"/>
        <v>#DIV/0!</v>
      </c>
      <c r="F7" s="150"/>
      <c r="G7" s="33"/>
      <c r="H7" s="150"/>
      <c r="I7" s="150"/>
      <c r="J7" s="150"/>
      <c r="K7" s="18"/>
      <c r="L7" s="182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ht="15.75" customHeight="1">
      <c r="A8" s="150"/>
      <c r="B8" s="157"/>
      <c r="C8" s="179"/>
      <c r="D8" s="180" t="str">
        <f t="shared" si="1"/>
        <v>#DIV/0!</v>
      </c>
      <c r="E8" s="181" t="str">
        <f t="shared" si="2"/>
        <v>#DIV/0!</v>
      </c>
      <c r="F8" s="150"/>
      <c r="G8" s="33"/>
      <c r="H8" s="150"/>
      <c r="I8" s="150"/>
      <c r="J8" s="150"/>
      <c r="K8" s="18"/>
      <c r="L8" s="182"/>
      <c r="M8" s="18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5.75" customHeight="1">
      <c r="A9" s="183"/>
      <c r="B9" s="184"/>
      <c r="C9" s="179"/>
      <c r="D9" s="180" t="str">
        <f t="shared" si="1"/>
        <v>#DIV/0!</v>
      </c>
      <c r="E9" s="181" t="str">
        <f t="shared" si="2"/>
        <v>#DIV/0!</v>
      </c>
      <c r="F9" s="150"/>
      <c r="G9" s="33"/>
      <c r="H9" s="150"/>
      <c r="I9" s="150"/>
      <c r="J9" s="150"/>
      <c r="K9" s="18"/>
      <c r="L9" s="182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ht="15.75" customHeight="1">
      <c r="A10" s="183"/>
      <c r="B10" s="184"/>
      <c r="C10" s="179"/>
      <c r="D10" s="180" t="str">
        <f t="shared" si="1"/>
        <v>#DIV/0!</v>
      </c>
      <c r="E10" s="181" t="str">
        <f t="shared" si="2"/>
        <v>#DIV/0!</v>
      </c>
      <c r="F10" s="150"/>
      <c r="G10" s="33"/>
      <c r="H10" s="150"/>
      <c r="I10" s="150"/>
      <c r="J10" s="150"/>
      <c r="K10" s="18"/>
      <c r="L10" s="182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ht="15.75" customHeight="1">
      <c r="A11" s="33"/>
      <c r="B11" s="157"/>
      <c r="C11" s="179"/>
      <c r="D11" s="180" t="str">
        <f t="shared" si="1"/>
        <v>#DIV/0!</v>
      </c>
      <c r="E11" s="181" t="str">
        <f t="shared" si="2"/>
        <v>#DIV/0!</v>
      </c>
      <c r="F11" s="150"/>
      <c r="G11" s="33"/>
      <c r="H11" s="150"/>
      <c r="I11" s="150"/>
      <c r="J11" s="33"/>
      <c r="K11" s="18"/>
      <c r="L11" s="182"/>
      <c r="M11" s="18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75" customHeight="1">
      <c r="A12" s="185"/>
      <c r="B12" s="186"/>
      <c r="C12" s="179"/>
      <c r="D12" s="180" t="str">
        <f t="shared" si="1"/>
        <v>#DIV/0!</v>
      </c>
      <c r="E12" s="181" t="str">
        <f t="shared" si="2"/>
        <v>#DIV/0!</v>
      </c>
      <c r="F12" s="187"/>
      <c r="G12" s="187"/>
      <c r="H12" s="150"/>
      <c r="I12" s="150"/>
      <c r="J12" s="150"/>
      <c r="K12" s="18"/>
      <c r="L12" s="182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ht="15.75" customHeight="1">
      <c r="A13" s="33"/>
      <c r="B13" s="157"/>
      <c r="C13" s="179"/>
      <c r="D13" s="188">
        <v>0.45</v>
      </c>
      <c r="E13" s="33"/>
      <c r="F13" s="33"/>
      <c r="G13" s="33"/>
      <c r="H13" s="33"/>
      <c r="I13" s="33"/>
      <c r="J13" s="33"/>
      <c r="K13" s="18"/>
      <c r="L13" s="18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187"/>
      <c r="B14" s="171"/>
      <c r="C14" s="179"/>
      <c r="D14" s="188">
        <v>0.45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187" t="s">
        <v>20</v>
      </c>
      <c r="B15" s="189">
        <f>SUM(B2:B14)</f>
        <v>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150" t="s">
        <v>187</v>
      </c>
      <c r="B16" s="157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33"/>
      <c r="B17" s="157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33"/>
      <c r="B18" s="157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75" hidden="1" customHeight="1">
      <c r="A19" s="190" t="s">
        <v>188</v>
      </c>
      <c r="B19" s="157"/>
      <c r="C19" s="150" t="s">
        <v>189</v>
      </c>
      <c r="D19" s="150"/>
      <c r="E19" s="150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hidden="1" customHeight="1">
      <c r="A20" s="150" t="s">
        <v>190</v>
      </c>
      <c r="B20" s="157" t="s">
        <v>191</v>
      </c>
      <c r="C20" s="191">
        <v>45222.0</v>
      </c>
      <c r="D20" s="192"/>
      <c r="E20" s="19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hidden="1" customHeight="1">
      <c r="A21" s="150"/>
      <c r="B21" s="157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hidden="1" customHeight="1">
      <c r="A22" s="33"/>
      <c r="B22" s="33"/>
      <c r="C22" s="192"/>
      <c r="D22" s="192"/>
      <c r="E22" s="19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hidden="1" customHeight="1">
      <c r="A23" s="150" t="s">
        <v>192</v>
      </c>
      <c r="B23" s="157" t="s">
        <v>191</v>
      </c>
      <c r="C23" s="191">
        <v>45222.0</v>
      </c>
      <c r="D23" s="192"/>
      <c r="E23" s="19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hidden="1" customHeight="1">
      <c r="A24" s="150" t="s">
        <v>193</v>
      </c>
      <c r="B24" s="33" t="s">
        <v>191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hidden="1" customHeight="1">
      <c r="A25" s="150" t="s">
        <v>194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hidden="1" customHeight="1">
      <c r="A26" s="150"/>
      <c r="B26" s="157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hidden="1" customHeight="1">
      <c r="A27" s="150" t="s">
        <v>195</v>
      </c>
      <c r="B27" s="157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hidden="1" customHeight="1">
      <c r="A28" s="150" t="s">
        <v>196</v>
      </c>
      <c r="B28" s="157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hidden="1" customHeight="1">
      <c r="A29" s="150" t="s">
        <v>197</v>
      </c>
      <c r="B29" s="33" t="s">
        <v>191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hidden="1" customHeight="1">
      <c r="A30" s="150" t="s">
        <v>198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hidden="1" customHeight="1">
      <c r="A31" s="150" t="s">
        <v>199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hidden="1" customHeight="1">
      <c r="A32" s="150" t="s">
        <v>200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hidden="1" customHeight="1">
      <c r="A33" s="150" t="s">
        <v>201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hidden="1" customHeight="1">
      <c r="A34" s="150" t="s">
        <v>202</v>
      </c>
      <c r="B34" s="157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hidden="1" customHeight="1">
      <c r="A35" s="150" t="s">
        <v>203</v>
      </c>
      <c r="B35" s="157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hidden="1" customHeight="1">
      <c r="A36" s="150" t="s">
        <v>204</v>
      </c>
      <c r="B36" s="157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hidden="1" customHeight="1">
      <c r="A37" s="150" t="s">
        <v>205</v>
      </c>
      <c r="B37" s="157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hidden="1" customHeight="1">
      <c r="A38" s="150" t="s">
        <v>206</v>
      </c>
      <c r="B38" s="157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hidden="1" customHeight="1">
      <c r="A39" s="150" t="s">
        <v>207</v>
      </c>
      <c r="B39" s="157" t="s">
        <v>208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hidden="1" customHeight="1">
      <c r="A40" s="150" t="s">
        <v>209</v>
      </c>
      <c r="B40" s="157" t="s">
        <v>208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hidden="1" customHeight="1">
      <c r="A41" s="150" t="s">
        <v>210</v>
      </c>
      <c r="B41" s="157" t="s">
        <v>208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hidden="1" customHeight="1">
      <c r="A42" s="150" t="s">
        <v>211</v>
      </c>
      <c r="B42" s="157" t="s">
        <v>208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hidden="1" customHeight="1">
      <c r="A43" s="150" t="s">
        <v>51</v>
      </c>
      <c r="B43" s="157" t="s">
        <v>208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hidden="1" customHeight="1">
      <c r="A44" s="150" t="s">
        <v>212</v>
      </c>
      <c r="B44" s="157" t="s">
        <v>208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hidden="1" customHeight="1">
      <c r="A45" s="150" t="s">
        <v>213</v>
      </c>
      <c r="B45" s="157" t="s">
        <v>208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hidden="1" customHeight="1">
      <c r="A46" s="150" t="s">
        <v>214</v>
      </c>
      <c r="B46" s="157" t="s">
        <v>208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hidden="1" customHeight="1">
      <c r="A47" s="150" t="s">
        <v>215</v>
      </c>
      <c r="B47" s="157" t="s">
        <v>208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hidden="1" customHeight="1">
      <c r="A48" s="150" t="s">
        <v>216</v>
      </c>
      <c r="B48" s="157" t="s">
        <v>208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hidden="1" customHeight="1">
      <c r="A49" s="150" t="s">
        <v>217</v>
      </c>
      <c r="B49" s="157" t="s">
        <v>208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hidden="1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hidden="1" customHeight="1">
      <c r="A51" s="190" t="s">
        <v>218</v>
      </c>
      <c r="B51" s="157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hidden="1" customHeight="1">
      <c r="A52" s="150"/>
      <c r="B52" s="157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hidden="1" customHeight="1">
      <c r="A53" s="150"/>
      <c r="B53" s="157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hidden="1" customHeight="1">
      <c r="A54" s="150"/>
      <c r="B54" s="157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hidden="1" customHeight="1">
      <c r="A55" s="150" t="s">
        <v>219</v>
      </c>
      <c r="B55" s="157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hidden="1" customHeight="1">
      <c r="A56" s="150" t="s">
        <v>220</v>
      </c>
      <c r="B56" s="157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157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157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157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157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157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157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181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157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157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157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157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157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157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157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157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157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157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157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157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157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157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157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157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157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157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157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157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157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157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157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157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157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157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157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157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157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157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157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157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157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157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157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157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157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157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157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157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157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157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157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157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157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157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157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157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157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157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157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157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157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157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157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157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157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157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157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157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157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157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157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157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157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157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157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157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157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157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157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157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157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157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157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157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157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157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157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157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157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157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157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157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157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157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157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157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157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157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157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157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157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157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157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157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157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157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157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157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157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157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157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157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157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157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157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157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157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157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157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157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157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157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157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157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157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157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157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157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157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157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157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157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157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157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157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157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157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157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157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157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157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157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157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157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157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157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157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157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157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157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157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157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157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157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157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157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157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157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157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157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157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157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157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157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157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157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157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157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157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157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157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157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157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157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157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157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157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157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157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157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157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157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157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157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157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157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157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157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157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157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157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157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157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157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157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157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157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157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157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157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157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157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157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157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157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157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157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157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autoFilter ref="$A$1:$J$16"/>
  <printOptions/>
  <pageMargins bottom="0.0" footer="0.0" header="0.0" left="0.0" right="0.0" top="0.0"/>
  <pageSetup orientation="landscape"/>
  <drawing r:id="rId1"/>
</worksheet>
</file>