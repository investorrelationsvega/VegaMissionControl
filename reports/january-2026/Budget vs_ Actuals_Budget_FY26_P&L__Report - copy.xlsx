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7" i="1" l="1"/>
</calcChain>
</file>

<file path=xl/sharedStrings.xml><?xml version="1.0" encoding="utf-8"?>
<sst xmlns="http://schemas.openxmlformats.org/spreadsheetml/2006/main" count="540" uniqueCount="94">
  <si>
    <t>Budget vs. Actuals_Budget_FY26_P&amp;L__Report - copy</t>
  </si>
  <si>
    <t>January 1-December 31, 2026</t>
  </si>
  <si>
    <t>Income</t>
  </si>
  <si>
    <t/>
  </si>
  <si>
    <t>Services</t>
  </si>
  <si>
    <t>Rental Income</t>
  </si>
  <si>
    <t>Total for Services</t>
  </si>
  <si>
    <t>Total for Income</t>
  </si>
  <si>
    <t>Cost of Goods Sold</t>
  </si>
  <si>
    <t>Cost of goods sold</t>
  </si>
  <si>
    <t>Equipment rental</t>
  </si>
  <si>
    <t>Total for Cost of goods sold</t>
  </si>
  <si>
    <t>Total for Cost of Goods Sold</t>
  </si>
  <si>
    <t>Gross Profit</t>
  </si>
  <si>
    <t>Expenses</t>
  </si>
  <si>
    <t>Employee benefits</t>
  </si>
  <si>
    <t>Worker's compensation insurance</t>
  </si>
  <si>
    <t>Total for Employee benefits</t>
  </si>
  <si>
    <t>General business expenses</t>
  </si>
  <si>
    <t>Bank fees &amp; service charges</t>
  </si>
  <si>
    <t>Business licences</t>
  </si>
  <si>
    <t>Dues &amp; Subscriptions</t>
  </si>
  <si>
    <t>Bank Charges</t>
  </si>
  <si>
    <t>Total for General business expenses</t>
  </si>
  <si>
    <t>Insurance</t>
  </si>
  <si>
    <t>Property insurance</t>
  </si>
  <si>
    <t>Total for Insurance</t>
  </si>
  <si>
    <t>Legal &amp; accounting services</t>
  </si>
  <si>
    <t>Cost Segregation Study</t>
  </si>
  <si>
    <t>Total for Legal &amp; accounting services</t>
  </si>
  <si>
    <t>Office expenses</t>
  </si>
  <si>
    <t>Software &amp; apps</t>
  </si>
  <si>
    <t>Accounting</t>
  </si>
  <si>
    <t>Total for Software &amp; apps</t>
  </si>
  <si>
    <t>Total for Office expenses</t>
  </si>
  <si>
    <t>Payroll expenses</t>
  </si>
  <si>
    <t>Administrator</t>
  </si>
  <si>
    <t>Dietary Staff</t>
  </si>
  <si>
    <t>Housekeeping</t>
  </si>
  <si>
    <t>Nursing Staff</t>
  </si>
  <si>
    <t>Payroll Processing Fee</t>
  </si>
  <si>
    <t>Payroll taxes</t>
  </si>
  <si>
    <t>RN</t>
  </si>
  <si>
    <t>Wages</t>
  </si>
  <si>
    <t>Total for Payroll expenses</t>
  </si>
  <si>
    <t>Repairs &amp; maintenance</t>
  </si>
  <si>
    <t>Supplies</t>
  </si>
  <si>
    <t>Activities Supplies</t>
  </si>
  <si>
    <t>Food</t>
  </si>
  <si>
    <t>Food Supplies</t>
  </si>
  <si>
    <t>Housekeeping &amp; Laundry Supplies</t>
  </si>
  <si>
    <t>Medical Supplies</t>
  </si>
  <si>
    <t>Office supplies</t>
  </si>
  <si>
    <t>Total for Supplies</t>
  </si>
  <si>
    <t>Utilities</t>
  </si>
  <si>
    <t>Internet &amp; TV services</t>
  </si>
  <si>
    <t>Water &amp; sewer</t>
  </si>
  <si>
    <t>Total for Utilities</t>
  </si>
  <si>
    <t>Advertising &amp; marketing</t>
  </si>
  <si>
    <t>Taxes paid</t>
  </si>
  <si>
    <t>Property taxes</t>
  </si>
  <si>
    <t>Total for Taxes paid</t>
  </si>
  <si>
    <t>Uncategorized Expense</t>
  </si>
  <si>
    <t>Total for Expenses</t>
  </si>
  <si>
    <t>Net Operating Income</t>
  </si>
  <si>
    <t>Other Income</t>
  </si>
  <si>
    <t>Other Expenses</t>
  </si>
  <si>
    <t>Asset Management Fee</t>
  </si>
  <si>
    <t>Assisted Living Management Fee</t>
  </si>
  <si>
    <t>Mortgage Interest</t>
  </si>
  <si>
    <t>Operations Management Fee</t>
  </si>
  <si>
    <t>Mortgage Principle (deleted)</t>
  </si>
  <si>
    <t>Total for Other Expenses</t>
  </si>
  <si>
    <t>Net Other Income</t>
  </si>
  <si>
    <t>Net Income</t>
  </si>
  <si>
    <t>Distribution account</t>
  </si>
  <si>
    <t>January 2026</t>
  </si>
  <si>
    <t>Actual</t>
  </si>
  <si>
    <t>Budget</t>
  </si>
  <si>
    <t>Over budget by</t>
  </si>
  <si>
    <t>Percent of budget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</si>
  <si>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</si>
  <si>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</si>
  <si>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</si>
  <si>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</si>
  <si>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</si>
  <si>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</si>
  <si>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</si>
  <si>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</si>
  <si>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</si>
  <si>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</si>
  <si>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</si>
  <si>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</si>
  <si>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Accrual Basis Friday, February 27, 2026 04:00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</si>
</sst>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.00%"/>
    <numFmt numFmtId="178" formatCode="#,##0.00\%"/>
    <numFmt numFmtId="179" formatCode="$#,##0.00"/>
    <numFmt numFmtId="180" formatCode="#,##0.00"/>
  </numFmts>
  <fonts count="12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2">
    <xf numFmtId="0" fontId="0" fillId="0" borderId="0" xfId="0"/>
    <xf numFmtId="0" fontId="2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80" fontId="0" fillId="0" borderId="0" xfId="0" applyNumberFormat="1"/>
    <xf numFmtId="180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80" fontId="11" fillId="0" borderId="0" xfId="0" applyNumberFormat="1" applyFont="1"/>
    <xf numFmtId="180" fontId="6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9" fontId="0" fillId="0" borderId="0" xfId="0" applyNumberFormat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9" fontId="10" fillId="0" borderId="0" xfId="0" applyNumberFormat="1" applyFont="1"/>
    <xf numFmtId="179" fontId="10" fillId="0" borderId="2" xfId="0" applyNumberFormat="1" applyFont="1" applyBorder="1"/>
    <xf numFmtId="179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180" fontId="2" fillId="0" borderId="0" xfId="0" applyNumberFormat="1" applyFont="1"/>
    <xf numFmtId="180" fontId="2" fillId="0" borderId="2" xfId="0" applyNumberFormat="1" applyFont="1" applyBorder="1"/>
    <xf numFmtId="180" fontId="4" fillId="0" borderId="2" xfId="0" applyNumberFormat="1" applyFont="1" applyBorder="1"/>
    <xf numFmtId="180" fontId="10" fillId="0" borderId="0" xfId="0" applyNumberFormat="1" applyFont="1"/>
    <xf numFmtId="180" fontId="10" fillId="0" borderId="2" xfId="0" applyNumberFormat="1" applyFont="1" applyBorder="1"/>
    <xf numFmtId="180" fontId="5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8" fontId="10" fillId="0" borderId="0" xfId="0" applyNumberFormat="1" applyFont="1"/>
    <xf numFmtId="178" fontId="10" fillId="0" borderId="2" xfId="0" applyNumberFormat="1" applyFont="1" applyBorder="1"/>
    <xf numFmtId="178" fontId="5" fillId="0" borderId="2" xfId="0" applyNumberFormat="1" applyFont="1" applyBorder="1"/>
    <xf numFmtId="177" fontId="10" fillId="0" borderId="0" xfId="0" applyNumberFormat="1" applyFont="1"/>
    <xf numFmtId="177" fontId="10" fillId="0" borderId="2" xfId="0" applyNumberFormat="1" applyFont="1" applyBorder="1"/>
    <xf numFmtId="177" fontId="5" fillId="0" borderId="2" xfId="0" applyNumberFormat="1" applyFont="1" applyBorder="1"/>
    <xf numFmtId="177" fontId="4" fillId="0" borderId="3" xfId="0" applyNumberFormat="1" applyFont="1" applyBorder="1"/>
    <xf numFmtId="177" fontId="3" fillId="0" borderId="1" xfId="0" applyNumberFormat="1" applyFont="1" applyBorder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7" fillId="0" borderId="1" xfId="20" applyFont="1" applyBorder="1" applyAlignment="1">
      <alignment wrapText="1"/>
      <protection/>
    </xf>
    <xf numFmtId="0" fontId="7" fillId="0" borderId="1" xfId="20" applyFont="1" applyBorder="1" applyAlignment="1">
      <alignment horizontal="center" wrapText="1"/>
      <protection/>
    </xf>
    <xf numFmtId="0" fontId="7" fillId="0" borderId="1" xfId="20" applyFont="1" applyBorder="1">
      <alignment/>
      <protection/>
    </xf>
    <xf numFmtId="0" fontId="7" fillId="0" borderId="1" xfId="20" applyFont="1" applyBorder="1" applyAlignment="1">
      <alignment horizontal="center"/>
      <protection/>
    </xf>
    <xf numFmtId="0" fontId="7" fillId="0" borderId="3" xfId="20" applyFont="1" applyBorder="1">
      <alignment/>
      <protection/>
    </xf>
    <xf numFmtId="0" fontId="7" fillId="0" borderId="3" xfId="20" applyFont="1" applyBorder="1" applyAlignment="1">
      <alignment wrapText="1"/>
      <protection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180" fontId="4" fillId="0" borderId="2" xfId="0" applyNumberFormat="1" applyFont="1" applyBorder="1" applyAlignment="1">
      <alignment wrapText="1"/>
    </xf>
    <xf numFmtId="180" fontId="5" fillId="0" borderId="2" xfId="0" applyNumberFormat="1" applyFont="1" applyBorder="1" applyAlignment="1">
      <alignment wrapText="1"/>
    </xf>
    <xf numFmtId="0" fontId="7" fillId="0" borderId="3" xfId="20" applyFont="1" applyBorder="1" applyAlignment="1">
      <alignment horizontal="center" wrapText="1"/>
      <protection/>
    </xf>
    <xf numFmtId="180" fontId="6" fillId="0" borderId="0" xfId="0" applyNumberFormat="1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179" fontId="4" fillId="0" borderId="2" xfId="0" applyNumberFormat="1" applyFont="1" applyBorder="1" applyAlignment="1">
      <alignment wrapText="1"/>
    </xf>
    <xf numFmtId="179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3" xfId="0" applyNumberFormat="1" applyFont="1" applyBorder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81"/>
  <sheetViews>
    <sheetView tabSelected="1" workbookViewId="0" topLeftCell="A1"/>
  </sheetViews>
  <sheetFormatPr defaultColWidth="11.255" defaultRowHeight="16" outlineLevelRow="3"/>
  <cols>
    <col min="1" max="1" width="32.375" style="68" customWidth="1"/>
    <col min="2" max="3" width="16.125" style="68" customWidth="1"/>
    <col min="4" max="4" width="17" style="68" customWidth="1"/>
    <col min="5" max="5" width="15.25" style="68" customWidth="1"/>
    <col min="6" max="7" width="16.125" style="68" customWidth="1"/>
    <col min="8" max="8" width="17" style="68" customWidth="1"/>
    <col min="9" max="9" width="15.25" style="68" customWidth="1"/>
    <col min="10" max="10" width="7.5" style="68" customWidth="1"/>
    <col min="11" max="11" width="16.125" style="68" customWidth="1"/>
    <col min="12" max="12" width="17" style="68" customWidth="1"/>
    <col min="13" max="13" width="15.25" style="68" customWidth="1"/>
    <col min="14" max="14" width="7.5" style="68" customWidth="1"/>
    <col min="15" max="15" width="16.125" style="68" customWidth="1"/>
    <col min="16" max="16" width="17" style="68" customWidth="1"/>
    <col min="17" max="17" width="15.25" style="68" customWidth="1"/>
    <col min="18" max="18" width="7.5" style="68" customWidth="1"/>
    <col min="19" max="19" width="16.125" style="68" customWidth="1"/>
    <col min="20" max="20" width="17" style="68" customWidth="1"/>
    <col min="21" max="21" width="15.25" style="68" customWidth="1"/>
    <col min="22" max="22" width="7.5" style="68" customWidth="1"/>
    <col min="23" max="23" width="16.125" style="68" customWidth="1"/>
    <col min="24" max="24" width="17" style="68" customWidth="1"/>
    <col min="25" max="25" width="15.25" style="68" customWidth="1"/>
    <col min="26" max="26" width="7.5" style="68" customWidth="1"/>
    <col min="27" max="27" width="16.125" style="68" customWidth="1"/>
    <col min="28" max="28" width="17" style="68" customWidth="1"/>
    <col min="29" max="29" width="15.25" style="68" customWidth="1"/>
    <col min="30" max="30" width="7.5" style="68" customWidth="1"/>
    <col min="31" max="31" width="16.125" style="68" customWidth="1"/>
    <col min="32" max="32" width="17" style="68" customWidth="1"/>
    <col min="33" max="33" width="15.25" style="68" customWidth="1"/>
    <col min="34" max="34" width="7.5" style="68" customWidth="1"/>
    <col min="35" max="35" width="16.125" style="68" customWidth="1"/>
    <col min="36" max="36" width="17" style="68" customWidth="1"/>
    <col min="37" max="37" width="15.25" style="68" customWidth="1"/>
    <col min="38" max="38" width="7.5" style="68" customWidth="1"/>
    <col min="39" max="39" width="16.125" style="68" customWidth="1"/>
    <col min="40" max="40" width="17" style="68" customWidth="1"/>
    <col min="41" max="41" width="15.25" style="68" customWidth="1"/>
    <col min="42" max="42" width="7.5" style="68" customWidth="1"/>
    <col min="43" max="43" width="16.125" style="68" customWidth="1"/>
    <col min="44" max="44" width="17" style="68" customWidth="1"/>
    <col min="45" max="45" width="15.25" style="68" customWidth="1"/>
    <col min="46" max="46" width="7.5" style="68" customWidth="1"/>
    <col min="47" max="48" width="17" style="68" customWidth="1"/>
    <col min="49" max="49" width="15.25" style="68" customWidth="1"/>
    <col min="50" max="50" width="17" style="68" customWidth="1"/>
    <col min="51" max="51" width="16.125" style="68" customWidth="1"/>
    <col min="52" max="52" width="17" style="68" customWidth="1"/>
    <col min="53" max="53" width="15.25" style="68" customWidth="1"/>
  </cols>
  <sheetData>
    <row r="1" spans="1:1" ht="16">
      <c r="A1" s="58" t="s">
        <v>0</v>
      </c>
    </row>
    <row r="2" spans="1:1" ht="16">
      <c r="A2" s="59" t="s">
        <v>1</v>
      </c>
    </row>
    <row r="4" spans="1:50" ht="16">
      <c r="A4" s="70" t="s">
        <v>75</v>
      </c>
      <c r="B4" s="70" t="s">
        <v>76</v>
      </c>
      <c r="F4" s="70" t="s">
        <v>81</v>
      </c>
      <c r="J4" s="70" t="s">
        <v>82</v>
      </c>
      <c r="N4" s="70" t="s">
        <v>83</v>
      </c>
      <c r="R4" s="70" t="s">
        <v>84</v>
      </c>
      <c r="V4" s="70" t="s">
        <v>85</v>
      </c>
      <c r="Z4" s="70" t="s">
        <v>86</v>
      </c>
      <c r="AD4" s="70" t="s">
        <v>87</v>
      </c>
      <c r="AH4" s="70" t="s">
        <v>88</v>
      </c>
      <c r="AL4" s="70" t="s">
        <v>89</v>
      </c>
      <c r="AP4" s="70" t="s">
        <v>90</v>
      </c>
      <c r="AT4" s="70" t="s">
        <v>91</v>
      </c>
      <c r="AX4" s="70" t="s">
        <v>92</v>
      </c>
    </row>
    <row r="5" spans="2:53" ht="16">
      <c r="B5" s="79" t="s">
        <v>77</v>
      </c>
      <c r="C5" s="70" t="s">
        <v>78</v>
      </c>
      <c r="D5" s="70" t="s">
        <v>79</v>
      </c>
      <c r="E5" s="70" t="s">
        <v>80</v>
      </c>
      <c r="F5" s="79" t="s">
        <v>77</v>
      </c>
      <c r="G5" s="70" t="s">
        <v>78</v>
      </c>
      <c r="H5" s="70" t="s">
        <v>79</v>
      </c>
      <c r="I5" s="70" t="s">
        <v>80</v>
      </c>
      <c r="J5" s="79" t="s">
        <v>77</v>
      </c>
      <c r="K5" s="70" t="s">
        <v>78</v>
      </c>
      <c r="L5" s="70" t="s">
        <v>79</v>
      </c>
      <c r="M5" s="70" t="s">
        <v>80</v>
      </c>
      <c r="N5" s="79" t="s">
        <v>77</v>
      </c>
      <c r="O5" s="70" t="s">
        <v>78</v>
      </c>
      <c r="P5" s="70" t="s">
        <v>79</v>
      </c>
      <c r="Q5" s="70" t="s">
        <v>80</v>
      </c>
      <c r="R5" s="79" t="s">
        <v>77</v>
      </c>
      <c r="S5" s="70" t="s">
        <v>78</v>
      </c>
      <c r="T5" s="70" t="s">
        <v>79</v>
      </c>
      <c r="U5" s="70" t="s">
        <v>80</v>
      </c>
      <c r="V5" s="79" t="s">
        <v>77</v>
      </c>
      <c r="W5" s="70" t="s">
        <v>78</v>
      </c>
      <c r="X5" s="70" t="s">
        <v>79</v>
      </c>
      <c r="Y5" s="70" t="s">
        <v>80</v>
      </c>
      <c r="Z5" s="79" t="s">
        <v>77</v>
      </c>
      <c r="AA5" s="70" t="s">
        <v>78</v>
      </c>
      <c r="AB5" s="70" t="s">
        <v>79</v>
      </c>
      <c r="AC5" s="70" t="s">
        <v>80</v>
      </c>
      <c r="AD5" s="79" t="s">
        <v>77</v>
      </c>
      <c r="AE5" s="70" t="s">
        <v>78</v>
      </c>
      <c r="AF5" s="70" t="s">
        <v>79</v>
      </c>
      <c r="AG5" s="70" t="s">
        <v>80</v>
      </c>
      <c r="AH5" s="79" t="s">
        <v>77</v>
      </c>
      <c r="AI5" s="70" t="s">
        <v>78</v>
      </c>
      <c r="AJ5" s="70" t="s">
        <v>79</v>
      </c>
      <c r="AK5" s="70" t="s">
        <v>80</v>
      </c>
      <c r="AL5" s="79" t="s">
        <v>77</v>
      </c>
      <c r="AM5" s="70" t="s">
        <v>78</v>
      </c>
      <c r="AN5" s="70" t="s">
        <v>79</v>
      </c>
      <c r="AO5" s="70" t="s">
        <v>80</v>
      </c>
      <c r="AP5" s="79" t="s">
        <v>77</v>
      </c>
      <c r="AQ5" s="70" t="s">
        <v>78</v>
      </c>
      <c r="AR5" s="70" t="s">
        <v>79</v>
      </c>
      <c r="AS5" s="70" t="s">
        <v>80</v>
      </c>
      <c r="AT5" s="79" t="s">
        <v>77</v>
      </c>
      <c r="AU5" s="70" t="s">
        <v>78</v>
      </c>
      <c r="AV5" s="70" t="s">
        <v>79</v>
      </c>
      <c r="AW5" s="70" t="s">
        <v>80</v>
      </c>
      <c r="AX5" s="79" t="s">
        <v>77</v>
      </c>
      <c r="AY5" s="70" t="s">
        <v>78</v>
      </c>
      <c r="AZ5" s="70" t="s">
        <v>79</v>
      </c>
      <c r="BA5" s="70" t="s">
        <v>80</v>
      </c>
    </row>
    <row r="6" spans="1:49" ht="16">
      <c r="A6" s="61" t="s">
        <v>2</v>
      </c>
      <c r="B6" s="75"/>
      <c r="C6" s="75"/>
      <c r="D6" s="75"/>
      <c r="E6" s="75" t="s">
        <v>3</v>
      </c>
      <c r="F6" s="75"/>
      <c r="G6" s="75"/>
      <c r="H6" s="75"/>
      <c r="I6" s="75" t="s">
        <v>3</v>
      </c>
      <c r="J6" s="75"/>
      <c r="K6" s="75"/>
      <c r="L6" s="75"/>
      <c r="M6" s="75" t="s">
        <v>3</v>
      </c>
      <c r="N6" s="75"/>
      <c r="O6" s="75"/>
      <c r="P6" s="75"/>
      <c r="Q6" s="75" t="s">
        <v>3</v>
      </c>
      <c r="R6" s="75"/>
      <c r="S6" s="75"/>
      <c r="T6" s="75"/>
      <c r="U6" s="75" t="s">
        <v>3</v>
      </c>
      <c r="V6" s="75"/>
      <c r="W6" s="75"/>
      <c r="X6" s="75"/>
      <c r="Y6" s="75" t="s">
        <v>3</v>
      </c>
      <c r="Z6" s="75"/>
      <c r="AA6" s="75"/>
      <c r="AB6" s="75"/>
      <c r="AC6" s="75" t="s">
        <v>3</v>
      </c>
      <c r="AD6" s="75"/>
      <c r="AE6" s="75"/>
      <c r="AF6" s="75"/>
      <c r="AG6" s="75" t="s">
        <v>3</v>
      </c>
      <c r="AH6" s="75"/>
      <c r="AI6" s="75"/>
      <c r="AJ6" s="75"/>
      <c r="AK6" s="75" t="s">
        <v>3</v>
      </c>
      <c r="AL6" s="75"/>
      <c r="AM6" s="75"/>
      <c r="AN6" s="75"/>
      <c r="AO6" s="75" t="s">
        <v>3</v>
      </c>
      <c r="AP6" s="75"/>
      <c r="AQ6" s="75"/>
      <c r="AR6" s="75"/>
      <c r="AS6" s="75" t="s">
        <v>3</v>
      </c>
      <c r="AT6" s="75"/>
      <c r="AU6" s="75"/>
      <c r="AV6" s="75"/>
      <c r="AW6" s="75" t="s">
        <v>3</v>
      </c>
    </row>
    <row r="7" spans="1:53" ht="16" outlineLevel="1">
      <c r="A7" s="62" t="s">
        <v>4</v>
      </c>
      <c r="B7" s="76">
        <v>80809.0</v>
      </c>
      <c r="C7" s="75"/>
      <c r="D7" s="76">
        <v>80809.0</v>
      </c>
      <c r="E7" s="75" t="s">
        <v>3</v>
      </c>
      <c r="F7" s="76">
        <v>49465.0</v>
      </c>
      <c r="G7" s="75"/>
      <c r="H7" s="76">
        <v>49465.0</v>
      </c>
      <c r="I7" s="75" t="s">
        <v>3</v>
      </c>
      <c r="J7" s="75"/>
      <c r="K7" s="75"/>
      <c r="L7" s="75"/>
      <c r="M7" s="75" t="s">
        <v>3</v>
      </c>
      <c r="N7" s="75"/>
      <c r="O7" s="75"/>
      <c r="P7" s="75"/>
      <c r="Q7" s="75" t="s">
        <v>3</v>
      </c>
      <c r="R7" s="75"/>
      <c r="S7" s="75"/>
      <c r="T7" s="75"/>
      <c r="U7" s="75" t="s">
        <v>3</v>
      </c>
      <c r="V7" s="75"/>
      <c r="W7" s="75"/>
      <c r="X7" s="75"/>
      <c r="Y7" s="75" t="s">
        <v>3</v>
      </c>
      <c r="Z7" s="75"/>
      <c r="AA7" s="75"/>
      <c r="AB7" s="75"/>
      <c r="AC7" s="75" t="s">
        <v>3</v>
      </c>
      <c r="AD7" s="75"/>
      <c r="AE7" s="75"/>
      <c r="AF7" s="75"/>
      <c r="AG7" s="75" t="s">
        <v>3</v>
      </c>
      <c r="AH7" s="75"/>
      <c r="AI7" s="75"/>
      <c r="AJ7" s="75"/>
      <c r="AK7" s="75" t="s">
        <v>3</v>
      </c>
      <c r="AL7" s="75"/>
      <c r="AM7" s="75"/>
      <c r="AN7" s="75"/>
      <c r="AO7" s="75" t="s">
        <v>3</v>
      </c>
      <c r="AP7" s="75"/>
      <c r="AQ7" s="75"/>
      <c r="AR7" s="75"/>
      <c r="AS7" s="75" t="s">
        <v>3</v>
      </c>
      <c r="AT7" s="75"/>
      <c r="AU7" s="75"/>
      <c r="AV7" s="75"/>
      <c r="AW7" s="75" t="s">
        <v>3</v>
      </c>
      <c r="AX7" s="76">
        <f>B7+F7+J7+N7+R7+V7+Z7+AD7+AH7+AL7+AP7+AT7</f>
        <v>130274.0</v>
      </c>
      <c r="AY7" s="75"/>
      <c r="AZ7" s="76">
        <f>D7+H7+L7+P7+T7+X7+AB7+AF7+AJ7+AN7+AR7+AV7</f>
        <v>130274.0</v>
      </c>
      <c r="BA7" s="75" t="s">
        <v>3</v>
      </c>
    </row>
    <row r="8" spans="1:53" ht="16" outlineLevel="2">
      <c r="A8" s="63" t="s">
        <v>5</v>
      </c>
      <c r="B8" s="75"/>
      <c r="C8" s="76">
        <v>89583.33</v>
      </c>
      <c r="D8" s="80">
        <v>-89583.33</v>
      </c>
      <c r="E8" s="81">
        <v>0</v>
      </c>
      <c r="F8" s="75"/>
      <c r="G8" s="76">
        <v>89583.33</v>
      </c>
      <c r="H8" s="80">
        <v>-89583.33</v>
      </c>
      <c r="I8" s="81">
        <v>0</v>
      </c>
      <c r="J8" s="75"/>
      <c r="K8" s="76">
        <v>89583.33</v>
      </c>
      <c r="L8" s="80">
        <v>-89583.33</v>
      </c>
      <c r="M8" s="81">
        <v>0</v>
      </c>
      <c r="N8" s="75"/>
      <c r="O8" s="76">
        <v>89583.33</v>
      </c>
      <c r="P8" s="80">
        <v>-89583.33</v>
      </c>
      <c r="Q8" s="81">
        <v>0</v>
      </c>
      <c r="R8" s="75"/>
      <c r="S8" s="76">
        <v>89583.33</v>
      </c>
      <c r="T8" s="80">
        <v>-89583.33</v>
      </c>
      <c r="U8" s="81">
        <v>0</v>
      </c>
      <c r="V8" s="75"/>
      <c r="W8" s="76">
        <v>89583.33</v>
      </c>
      <c r="X8" s="80">
        <v>-89583.33</v>
      </c>
      <c r="Y8" s="81">
        <v>0</v>
      </c>
      <c r="Z8" s="75"/>
      <c r="AA8" s="76">
        <v>89583.33</v>
      </c>
      <c r="AB8" s="80">
        <v>-89583.33</v>
      </c>
      <c r="AC8" s="81">
        <v>0</v>
      </c>
      <c r="AD8" s="75"/>
      <c r="AE8" s="76">
        <v>89583.33</v>
      </c>
      <c r="AF8" s="80">
        <v>-89583.33</v>
      </c>
      <c r="AG8" s="81">
        <v>0</v>
      </c>
      <c r="AH8" s="75"/>
      <c r="AI8" s="76">
        <v>89583.33</v>
      </c>
      <c r="AJ8" s="80">
        <v>-89583.33</v>
      </c>
      <c r="AK8" s="81">
        <v>0</v>
      </c>
      <c r="AL8" s="75"/>
      <c r="AM8" s="76">
        <v>89583.33</v>
      </c>
      <c r="AN8" s="80">
        <v>-89583.33</v>
      </c>
      <c r="AO8" s="81">
        <v>0</v>
      </c>
      <c r="AP8" s="75"/>
      <c r="AQ8" s="76">
        <v>89583.33</v>
      </c>
      <c r="AR8" s="80">
        <v>-89583.33</v>
      </c>
      <c r="AS8" s="81">
        <v>0</v>
      </c>
      <c r="AT8" s="75"/>
      <c r="AU8" s="76">
        <v>89583.37</v>
      </c>
      <c r="AV8" s="80">
        <v>-89583.37</v>
      </c>
      <c r="AW8" s="81">
        <v>0</v>
      </c>
      <c r="AX8" s="75"/>
      <c r="AY8" s="76">
        <f>C8+G8+K8+O8+S8+W8+AA8+AE8+AI8+AM8+AQ8+AU8</f>
        <v>1074999.9999999998</v>
      </c>
      <c r="AZ8" s="80">
        <f>D8+H8+L8+P8+T8+X8+AB8+AF8+AJ8+AN8+AR8+AV8</f>
        <v>-1074999.9999999998</v>
      </c>
      <c r="BA8" s="87">
        <f>IFERROR(E8+I8+M8+Q8+U8+Y8+AC8+AG8+AK8+AO8+AS8+AW8,"")</f>
        <v>0.0</v>
      </c>
    </row>
    <row r="9" spans="1:53" ht="16" outlineLevel="1">
      <c r="A9" s="64" t="s">
        <v>6</v>
      </c>
      <c r="B9" s="77">
        <f>B7+B8</f>
        <v>80809.0</v>
      </c>
      <c r="C9" s="77">
        <f>C7+C8</f>
        <v>89583.33</v>
      </c>
      <c r="D9" s="78">
        <f>D7+D8</f>
        <v>-8774.330000000002</v>
      </c>
      <c r="E9" s="82">
        <v>0.9020999999999999</v>
      </c>
      <c r="F9" s="77">
        <f>F7+F8</f>
        <v>49465.0</v>
      </c>
      <c r="G9" s="77">
        <f>G7+G8</f>
        <v>89583.33</v>
      </c>
      <c r="H9" s="78">
        <f>H7+H8</f>
        <v>-40118.33</v>
      </c>
      <c r="I9" s="82">
        <v>0.5522</v>
      </c>
      <c r="J9" s="77"/>
      <c r="K9" s="77">
        <f>K7+K8</f>
        <v>89583.33</v>
      </c>
      <c r="L9" s="78">
        <f>L7+L8</f>
        <v>-89583.33</v>
      </c>
      <c r="M9" s="82">
        <v>0</v>
      </c>
      <c r="N9" s="77"/>
      <c r="O9" s="77">
        <f>O7+O8</f>
        <v>89583.33</v>
      </c>
      <c r="P9" s="78">
        <f>P7+P8</f>
        <v>-89583.33</v>
      </c>
      <c r="Q9" s="82">
        <v>0</v>
      </c>
      <c r="R9" s="77"/>
      <c r="S9" s="77">
        <f>S7+S8</f>
        <v>89583.33</v>
      </c>
      <c r="T9" s="78">
        <f>T7+T8</f>
        <v>-89583.33</v>
      </c>
      <c r="U9" s="82">
        <v>0</v>
      </c>
      <c r="V9" s="77"/>
      <c r="W9" s="77">
        <f>W7+W8</f>
        <v>89583.33</v>
      </c>
      <c r="X9" s="78">
        <f>X7+X8</f>
        <v>-89583.33</v>
      </c>
      <c r="Y9" s="82">
        <v>0</v>
      </c>
      <c r="Z9" s="77"/>
      <c r="AA9" s="77">
        <f>AA7+AA8</f>
        <v>89583.33</v>
      </c>
      <c r="AB9" s="78">
        <f>AB7+AB8</f>
        <v>-89583.33</v>
      </c>
      <c r="AC9" s="82">
        <v>0</v>
      </c>
      <c r="AD9" s="77"/>
      <c r="AE9" s="77">
        <f>AE7+AE8</f>
        <v>89583.33</v>
      </c>
      <c r="AF9" s="78">
        <f>AF7+AF8</f>
        <v>-89583.33</v>
      </c>
      <c r="AG9" s="82">
        <v>0</v>
      </c>
      <c r="AH9" s="77"/>
      <c r="AI9" s="77">
        <f>AI7+AI8</f>
        <v>89583.33</v>
      </c>
      <c r="AJ9" s="78">
        <f>AJ7+AJ8</f>
        <v>-89583.33</v>
      </c>
      <c r="AK9" s="82">
        <v>0</v>
      </c>
      <c r="AL9" s="77"/>
      <c r="AM9" s="77">
        <f>AM7+AM8</f>
        <v>89583.33</v>
      </c>
      <c r="AN9" s="78">
        <f>AN7+AN8</f>
        <v>-89583.33</v>
      </c>
      <c r="AO9" s="82">
        <v>0</v>
      </c>
      <c r="AP9" s="77"/>
      <c r="AQ9" s="77">
        <f>AQ7+AQ8</f>
        <v>89583.33</v>
      </c>
      <c r="AR9" s="78">
        <f>AR7+AR8</f>
        <v>-89583.33</v>
      </c>
      <c r="AS9" s="82">
        <v>0</v>
      </c>
      <c r="AT9" s="77"/>
      <c r="AU9" s="77">
        <f>AU7+AU8</f>
        <v>89583.37</v>
      </c>
      <c r="AV9" s="78">
        <f>AV7+AV8</f>
        <v>-89583.37</v>
      </c>
      <c r="AW9" s="82">
        <v>0</v>
      </c>
      <c r="AX9" s="85">
        <f>B9+F9+J9+N9+R9+V9+Z9+AD9+AH9+AL9+AP9+AT9</f>
        <v>130274.0</v>
      </c>
      <c r="AY9" s="85">
        <f>C9+G9+K9+O9+S9+W9+AA9+AE9+AI9+AM9+AQ9+AU9</f>
        <v>1074999.9999999998</v>
      </c>
      <c r="AZ9" s="86">
        <f>D9+H9+L9+P9+T9+X9+AB9+AF9+AJ9+AN9+AR9+AV9</f>
        <v>-944725.9999999999</v>
      </c>
      <c r="BA9" s="88">
        <v>0.12119999999999999</v>
      </c>
    </row>
    <row r="10" spans="1:53" ht="16">
      <c r="A10" s="65" t="s">
        <v>7</v>
      </c>
      <c r="B10" s="77">
        <f>B9</f>
        <v>80809.0</v>
      </c>
      <c r="C10" s="77">
        <f>C9</f>
        <v>89583.33</v>
      </c>
      <c r="D10" s="78">
        <f>D9</f>
        <v>-8774.330000000002</v>
      </c>
      <c r="E10" s="82">
        <v>0.9020999999999999</v>
      </c>
      <c r="F10" s="77">
        <f>F9</f>
        <v>49465.0</v>
      </c>
      <c r="G10" s="77">
        <f>G9</f>
        <v>89583.33</v>
      </c>
      <c r="H10" s="78">
        <f>H9</f>
        <v>-40118.33</v>
      </c>
      <c r="I10" s="82">
        <v>0.5522</v>
      </c>
      <c r="J10" s="77"/>
      <c r="K10" s="77">
        <f>K9</f>
        <v>89583.33</v>
      </c>
      <c r="L10" s="78">
        <f>L9</f>
        <v>-89583.33</v>
      </c>
      <c r="M10" s="82">
        <v>0</v>
      </c>
      <c r="N10" s="77"/>
      <c r="O10" s="77">
        <f>O9</f>
        <v>89583.33</v>
      </c>
      <c r="P10" s="78">
        <f>P9</f>
        <v>-89583.33</v>
      </c>
      <c r="Q10" s="82">
        <v>0</v>
      </c>
      <c r="R10" s="77"/>
      <c r="S10" s="77">
        <f>S9</f>
        <v>89583.33</v>
      </c>
      <c r="T10" s="78">
        <f>T9</f>
        <v>-89583.33</v>
      </c>
      <c r="U10" s="82">
        <v>0</v>
      </c>
      <c r="V10" s="77"/>
      <c r="W10" s="77">
        <f>W9</f>
        <v>89583.33</v>
      </c>
      <c r="X10" s="78">
        <f>X9</f>
        <v>-89583.33</v>
      </c>
      <c r="Y10" s="82">
        <v>0</v>
      </c>
      <c r="Z10" s="77"/>
      <c r="AA10" s="77">
        <f>AA9</f>
        <v>89583.33</v>
      </c>
      <c r="AB10" s="78">
        <f>AB9</f>
        <v>-89583.33</v>
      </c>
      <c r="AC10" s="82">
        <v>0</v>
      </c>
      <c r="AD10" s="77"/>
      <c r="AE10" s="77">
        <f>AE9</f>
        <v>89583.33</v>
      </c>
      <c r="AF10" s="78">
        <f>AF9</f>
        <v>-89583.33</v>
      </c>
      <c r="AG10" s="82">
        <v>0</v>
      </c>
      <c r="AH10" s="77"/>
      <c r="AI10" s="77">
        <f>AI9</f>
        <v>89583.33</v>
      </c>
      <c r="AJ10" s="78">
        <f>AJ9</f>
        <v>-89583.33</v>
      </c>
      <c r="AK10" s="82">
        <v>0</v>
      </c>
      <c r="AL10" s="77"/>
      <c r="AM10" s="77">
        <f>AM9</f>
        <v>89583.33</v>
      </c>
      <c r="AN10" s="78">
        <f>AN9</f>
        <v>-89583.33</v>
      </c>
      <c r="AO10" s="82">
        <v>0</v>
      </c>
      <c r="AP10" s="77"/>
      <c r="AQ10" s="77">
        <f>AQ9</f>
        <v>89583.33</v>
      </c>
      <c r="AR10" s="78">
        <f>AR9</f>
        <v>-89583.33</v>
      </c>
      <c r="AS10" s="82">
        <v>0</v>
      </c>
      <c r="AT10" s="77"/>
      <c r="AU10" s="77">
        <f>AU9</f>
        <v>89583.37</v>
      </c>
      <c r="AV10" s="78">
        <f>AV9</f>
        <v>-89583.37</v>
      </c>
      <c r="AW10" s="82">
        <v>0</v>
      </c>
      <c r="AX10" s="85">
        <f>B10+F10+J10+N10+R10+V10+Z10+AD10+AH10+AL10+AP10+AT10</f>
        <v>130274.0</v>
      </c>
      <c r="AY10" s="85">
        <f>C10+G10+K10+O10+S10+W10+AA10+AE10+AI10+AM10+AQ10+AU10</f>
        <v>1074999.9999999998</v>
      </c>
      <c r="AZ10" s="86">
        <f>D10+H10+L10+P10+T10+X10+AB10+AF10+AJ10+AN10+AR10+AV10</f>
        <v>-944725.9999999999</v>
      </c>
      <c r="BA10" s="82">
        <v>0.12119999999999999</v>
      </c>
    </row>
    <row r="11" spans="1:49" ht="16">
      <c r="A11" s="61" t="s">
        <v>8</v>
      </c>
      <c r="B11" s="75"/>
      <c r="C11" s="75"/>
      <c r="D11" s="75"/>
      <c r="E11" s="75" t="s">
        <v>3</v>
      </c>
      <c r="F11" s="75"/>
      <c r="G11" s="75"/>
      <c r="H11" s="75"/>
      <c r="I11" s="75" t="s">
        <v>3</v>
      </c>
      <c r="J11" s="75"/>
      <c r="K11" s="75"/>
      <c r="L11" s="75"/>
      <c r="M11" s="75" t="s">
        <v>3</v>
      </c>
      <c r="N11" s="75"/>
      <c r="O11" s="75"/>
      <c r="P11" s="75"/>
      <c r="Q11" s="75" t="s">
        <v>3</v>
      </c>
      <c r="R11" s="75"/>
      <c r="S11" s="75"/>
      <c r="T11" s="75"/>
      <c r="U11" s="75" t="s">
        <v>3</v>
      </c>
      <c r="V11" s="75"/>
      <c r="W11" s="75"/>
      <c r="X11" s="75"/>
      <c r="Y11" s="75" t="s">
        <v>3</v>
      </c>
      <c r="Z11" s="75"/>
      <c r="AA11" s="75"/>
      <c r="AB11" s="75"/>
      <c r="AC11" s="75" t="s">
        <v>3</v>
      </c>
      <c r="AD11" s="75"/>
      <c r="AE11" s="75"/>
      <c r="AF11" s="75"/>
      <c r="AG11" s="75" t="s">
        <v>3</v>
      </c>
      <c r="AH11" s="75"/>
      <c r="AI11" s="75"/>
      <c r="AJ11" s="75"/>
      <c r="AK11" s="75" t="s">
        <v>3</v>
      </c>
      <c r="AL11" s="75"/>
      <c r="AM11" s="75"/>
      <c r="AN11" s="75"/>
      <c r="AO11" s="75" t="s">
        <v>3</v>
      </c>
      <c r="AP11" s="75"/>
      <c r="AQ11" s="75"/>
      <c r="AR11" s="75"/>
      <c r="AS11" s="75" t="s">
        <v>3</v>
      </c>
      <c r="AT11" s="75"/>
      <c r="AU11" s="75"/>
      <c r="AV11" s="75"/>
      <c r="AW11" s="75" t="s">
        <v>3</v>
      </c>
    </row>
    <row r="12" spans="1:53" ht="16" outlineLevel="1">
      <c r="A12" s="62" t="s">
        <v>9</v>
      </c>
      <c r="B12" s="75"/>
      <c r="C12" s="75"/>
      <c r="D12" s="75"/>
      <c r="E12" s="75" t="s">
        <v>3</v>
      </c>
      <c r="F12" s="75"/>
      <c r="G12" s="75"/>
      <c r="H12" s="75"/>
      <c r="I12" s="75" t="s">
        <v>3</v>
      </c>
      <c r="J12" s="75"/>
      <c r="K12" s="75"/>
      <c r="L12" s="75"/>
      <c r="M12" s="75" t="s">
        <v>3</v>
      </c>
      <c r="N12" s="75"/>
      <c r="O12" s="75"/>
      <c r="P12" s="75"/>
      <c r="Q12" s="75" t="s">
        <v>3</v>
      </c>
      <c r="R12" s="75"/>
      <c r="S12" s="75"/>
      <c r="T12" s="75"/>
      <c r="U12" s="75" t="s">
        <v>3</v>
      </c>
      <c r="V12" s="75"/>
      <c r="W12" s="75"/>
      <c r="X12" s="75"/>
      <c r="Y12" s="75" t="s">
        <v>3</v>
      </c>
      <c r="Z12" s="75"/>
      <c r="AA12" s="75"/>
      <c r="AB12" s="75"/>
      <c r="AC12" s="75" t="s">
        <v>3</v>
      </c>
      <c r="AD12" s="75"/>
      <c r="AE12" s="75"/>
      <c r="AF12" s="75"/>
      <c r="AG12" s="75" t="s">
        <v>3</v>
      </c>
      <c r="AH12" s="75"/>
      <c r="AI12" s="75"/>
      <c r="AJ12" s="75"/>
      <c r="AK12" s="75" t="s">
        <v>3</v>
      </c>
      <c r="AL12" s="75"/>
      <c r="AM12" s="75"/>
      <c r="AN12" s="75"/>
      <c r="AO12" s="75" t="s">
        <v>3</v>
      </c>
      <c r="AP12" s="75"/>
      <c r="AQ12" s="75"/>
      <c r="AR12" s="75"/>
      <c r="AS12" s="75" t="s">
        <v>3</v>
      </c>
      <c r="AT12" s="75"/>
      <c r="AU12" s="75"/>
      <c r="AV12" s="75"/>
      <c r="AW12" s="75" t="s">
        <v>3</v>
      </c>
      <c r="AX12" s="75"/>
      <c r="AY12" s="75"/>
      <c r="AZ12" s="75"/>
      <c r="BA12" s="75" t="s">
        <v>3</v>
      </c>
    </row>
    <row r="13" spans="1:53" ht="16" outlineLevel="2">
      <c r="A13" s="63" t="s">
        <v>10</v>
      </c>
      <c r="B13" s="75"/>
      <c r="C13" s="76">
        <v>208.33</v>
      </c>
      <c r="D13" s="80">
        <v>-208.33</v>
      </c>
      <c r="E13" s="81">
        <v>0</v>
      </c>
      <c r="F13" s="75"/>
      <c r="G13" s="76">
        <v>208.33</v>
      </c>
      <c r="H13" s="80">
        <v>-208.33</v>
      </c>
      <c r="I13" s="81">
        <v>0</v>
      </c>
      <c r="J13" s="75"/>
      <c r="K13" s="76">
        <v>208.33</v>
      </c>
      <c r="L13" s="80">
        <v>-208.33</v>
      </c>
      <c r="M13" s="81">
        <v>0</v>
      </c>
      <c r="N13" s="75"/>
      <c r="O13" s="76">
        <v>208.33</v>
      </c>
      <c r="P13" s="80">
        <v>-208.33</v>
      </c>
      <c r="Q13" s="81">
        <v>0</v>
      </c>
      <c r="R13" s="75"/>
      <c r="S13" s="76">
        <v>208.33</v>
      </c>
      <c r="T13" s="80">
        <v>-208.33</v>
      </c>
      <c r="U13" s="81">
        <v>0</v>
      </c>
      <c r="V13" s="75"/>
      <c r="W13" s="76">
        <v>208.33</v>
      </c>
      <c r="X13" s="80">
        <v>-208.33</v>
      </c>
      <c r="Y13" s="81">
        <v>0</v>
      </c>
      <c r="Z13" s="75"/>
      <c r="AA13" s="76">
        <v>208.33</v>
      </c>
      <c r="AB13" s="80">
        <v>-208.33</v>
      </c>
      <c r="AC13" s="81">
        <v>0</v>
      </c>
      <c r="AD13" s="75"/>
      <c r="AE13" s="76">
        <v>208.33</v>
      </c>
      <c r="AF13" s="80">
        <v>-208.33</v>
      </c>
      <c r="AG13" s="81">
        <v>0</v>
      </c>
      <c r="AH13" s="75"/>
      <c r="AI13" s="76">
        <v>208.33</v>
      </c>
      <c r="AJ13" s="80">
        <v>-208.33</v>
      </c>
      <c r="AK13" s="81">
        <v>0</v>
      </c>
      <c r="AL13" s="75"/>
      <c r="AM13" s="76">
        <v>208.33</v>
      </c>
      <c r="AN13" s="80">
        <v>-208.33</v>
      </c>
      <c r="AO13" s="81">
        <v>0</v>
      </c>
      <c r="AP13" s="75"/>
      <c r="AQ13" s="76">
        <v>208.33</v>
      </c>
      <c r="AR13" s="80">
        <v>-208.33</v>
      </c>
      <c r="AS13" s="81">
        <v>0</v>
      </c>
      <c r="AT13" s="75"/>
      <c r="AU13" s="76">
        <v>208.37</v>
      </c>
      <c r="AV13" s="80">
        <v>-208.37</v>
      </c>
      <c r="AW13" s="81">
        <v>0</v>
      </c>
      <c r="AX13" s="75"/>
      <c r="AY13" s="76">
        <f>C13+G13+K13+O13+S13+W13+AA13+AE13+AI13+AM13+AQ13+AU13</f>
        <v>2499.9999999999995</v>
      </c>
      <c r="AZ13" s="80">
        <f>D13+H13+L13+P13+T13+X13+AB13+AF13+AJ13+AN13+AR13+AV13</f>
        <v>-2499.9999999999995</v>
      </c>
      <c r="BA13" s="87">
        <f>IFERROR(E13+I13+M13+Q13+U13+Y13+AC13+AG13+AK13+AO13+AS13+AW13,"")</f>
        <v>0.0</v>
      </c>
    </row>
    <row r="14" spans="1:53" ht="16" outlineLevel="1">
      <c r="A14" s="64" t="s">
        <v>11</v>
      </c>
      <c r="B14" s="77"/>
      <c r="C14" s="77">
        <f>C12+C13</f>
        <v>208.33</v>
      </c>
      <c r="D14" s="78">
        <f>D12+D13</f>
        <v>-208.33</v>
      </c>
      <c r="E14" s="82">
        <v>0</v>
      </c>
      <c r="F14" s="77"/>
      <c r="G14" s="77">
        <f>G12+G13</f>
        <v>208.33</v>
      </c>
      <c r="H14" s="78">
        <f>H12+H13</f>
        <v>-208.33</v>
      </c>
      <c r="I14" s="82">
        <v>0</v>
      </c>
      <c r="J14" s="77"/>
      <c r="K14" s="77">
        <f>K12+K13</f>
        <v>208.33</v>
      </c>
      <c r="L14" s="78">
        <f>L12+L13</f>
        <v>-208.33</v>
      </c>
      <c r="M14" s="82">
        <v>0</v>
      </c>
      <c r="N14" s="77"/>
      <c r="O14" s="77">
        <f>O12+O13</f>
        <v>208.33</v>
      </c>
      <c r="P14" s="78">
        <f>P12+P13</f>
        <v>-208.33</v>
      </c>
      <c r="Q14" s="82">
        <v>0</v>
      </c>
      <c r="R14" s="77"/>
      <c r="S14" s="77">
        <f>S12+S13</f>
        <v>208.33</v>
      </c>
      <c r="T14" s="78">
        <f>T12+T13</f>
        <v>-208.33</v>
      </c>
      <c r="U14" s="82">
        <v>0</v>
      </c>
      <c r="V14" s="77"/>
      <c r="W14" s="77">
        <f>W12+W13</f>
        <v>208.33</v>
      </c>
      <c r="X14" s="78">
        <f>X12+X13</f>
        <v>-208.33</v>
      </c>
      <c r="Y14" s="82">
        <v>0</v>
      </c>
      <c r="Z14" s="77"/>
      <c r="AA14" s="77">
        <f>AA12+AA13</f>
        <v>208.33</v>
      </c>
      <c r="AB14" s="78">
        <f>AB12+AB13</f>
        <v>-208.33</v>
      </c>
      <c r="AC14" s="82">
        <v>0</v>
      </c>
      <c r="AD14" s="77"/>
      <c r="AE14" s="77">
        <f>AE12+AE13</f>
        <v>208.33</v>
      </c>
      <c r="AF14" s="78">
        <f>AF12+AF13</f>
        <v>-208.33</v>
      </c>
      <c r="AG14" s="82">
        <v>0</v>
      </c>
      <c r="AH14" s="77"/>
      <c r="AI14" s="77">
        <f>AI12+AI13</f>
        <v>208.33</v>
      </c>
      <c r="AJ14" s="78">
        <f>AJ12+AJ13</f>
        <v>-208.33</v>
      </c>
      <c r="AK14" s="82">
        <v>0</v>
      </c>
      <c r="AL14" s="77"/>
      <c r="AM14" s="77">
        <f>AM12+AM13</f>
        <v>208.33</v>
      </c>
      <c r="AN14" s="78">
        <f>AN12+AN13</f>
        <v>-208.33</v>
      </c>
      <c r="AO14" s="82">
        <v>0</v>
      </c>
      <c r="AP14" s="77"/>
      <c r="AQ14" s="77">
        <f>AQ12+AQ13</f>
        <v>208.33</v>
      </c>
      <c r="AR14" s="78">
        <f>AR12+AR13</f>
        <v>-208.33</v>
      </c>
      <c r="AS14" s="82">
        <v>0</v>
      </c>
      <c r="AT14" s="77"/>
      <c r="AU14" s="77">
        <f>AU12+AU13</f>
        <v>208.37</v>
      </c>
      <c r="AV14" s="78">
        <f>AV12+AV13</f>
        <v>-208.37</v>
      </c>
      <c r="AW14" s="82">
        <v>0</v>
      </c>
      <c r="AX14" s="77"/>
      <c r="AY14" s="85">
        <f>C14+G14+K14+O14+S14+W14+AA14+AE14+AI14+AM14+AQ14+AU14</f>
        <v>2499.9999999999995</v>
      </c>
      <c r="AZ14" s="86">
        <f>D14+H14+L14+P14+T14+X14+AB14+AF14+AJ14+AN14+AR14+AV14</f>
        <v>-2499.9999999999995</v>
      </c>
      <c r="BA14" s="89">
        <f>IFERROR(E14+I14+M14+Q14+U14+Y14+AC14+AG14+AK14+AO14+AS14+AW14,"")</f>
        <v>0.0</v>
      </c>
    </row>
    <row r="15" spans="1:53" ht="16">
      <c r="A15" s="65" t="s">
        <v>12</v>
      </c>
      <c r="B15" s="77"/>
      <c r="C15" s="77">
        <f>C14</f>
        <v>208.33</v>
      </c>
      <c r="D15" s="78">
        <f>D14</f>
        <v>-208.33</v>
      </c>
      <c r="E15" s="82">
        <v>0</v>
      </c>
      <c r="F15" s="77"/>
      <c r="G15" s="77">
        <f>G14</f>
        <v>208.33</v>
      </c>
      <c r="H15" s="78">
        <f>H14</f>
        <v>-208.33</v>
      </c>
      <c r="I15" s="82">
        <v>0</v>
      </c>
      <c r="J15" s="77"/>
      <c r="K15" s="77">
        <f>K14</f>
        <v>208.33</v>
      </c>
      <c r="L15" s="78">
        <f>L14</f>
        <v>-208.33</v>
      </c>
      <c r="M15" s="82">
        <v>0</v>
      </c>
      <c r="N15" s="77"/>
      <c r="O15" s="77">
        <f>O14</f>
        <v>208.33</v>
      </c>
      <c r="P15" s="78">
        <f>P14</f>
        <v>-208.33</v>
      </c>
      <c r="Q15" s="82">
        <v>0</v>
      </c>
      <c r="R15" s="77"/>
      <c r="S15" s="77">
        <f>S14</f>
        <v>208.33</v>
      </c>
      <c r="T15" s="78">
        <f>T14</f>
        <v>-208.33</v>
      </c>
      <c r="U15" s="82">
        <v>0</v>
      </c>
      <c r="V15" s="77"/>
      <c r="W15" s="77">
        <f>W14</f>
        <v>208.33</v>
      </c>
      <c r="X15" s="78">
        <f>X14</f>
        <v>-208.33</v>
      </c>
      <c r="Y15" s="82">
        <v>0</v>
      </c>
      <c r="Z15" s="77"/>
      <c r="AA15" s="77">
        <f>AA14</f>
        <v>208.33</v>
      </c>
      <c r="AB15" s="78">
        <f>AB14</f>
        <v>-208.33</v>
      </c>
      <c r="AC15" s="82">
        <v>0</v>
      </c>
      <c r="AD15" s="77"/>
      <c r="AE15" s="77">
        <f>AE14</f>
        <v>208.33</v>
      </c>
      <c r="AF15" s="78">
        <f>AF14</f>
        <v>-208.33</v>
      </c>
      <c r="AG15" s="82">
        <v>0</v>
      </c>
      <c r="AH15" s="77"/>
      <c r="AI15" s="77">
        <f>AI14</f>
        <v>208.33</v>
      </c>
      <c r="AJ15" s="78">
        <f>AJ14</f>
        <v>-208.33</v>
      </c>
      <c r="AK15" s="82">
        <v>0</v>
      </c>
      <c r="AL15" s="77"/>
      <c r="AM15" s="77">
        <f>AM14</f>
        <v>208.33</v>
      </c>
      <c r="AN15" s="78">
        <f>AN14</f>
        <v>-208.33</v>
      </c>
      <c r="AO15" s="82">
        <v>0</v>
      </c>
      <c r="AP15" s="77"/>
      <c r="AQ15" s="77">
        <f>AQ14</f>
        <v>208.33</v>
      </c>
      <c r="AR15" s="78">
        <f>AR14</f>
        <v>-208.33</v>
      </c>
      <c r="AS15" s="82">
        <v>0</v>
      </c>
      <c r="AT15" s="77"/>
      <c r="AU15" s="77">
        <f>AU14</f>
        <v>208.37</v>
      </c>
      <c r="AV15" s="78">
        <f>AV14</f>
        <v>-208.37</v>
      </c>
      <c r="AW15" s="82">
        <v>0</v>
      </c>
      <c r="AX15" s="77"/>
      <c r="AY15" s="85">
        <f>C15+G15+K15+O15+S15+W15+AA15+AE15+AI15+AM15+AQ15+AU15</f>
        <v>2499.9999999999995</v>
      </c>
      <c r="AZ15" s="86">
        <f>D15+H15+L15+P15+T15+X15+AB15+AF15+AJ15+AN15+AR15+AV15</f>
        <v>-2499.9999999999995</v>
      </c>
      <c r="BA15" s="89">
        <f>IFERROR(E15+I15+M15+Q15+U15+Y15+AC15+AG15+AK15+AO15+AS15+AW15,"")</f>
        <v>0.0</v>
      </c>
    </row>
    <row r="16" spans="1:53" ht="16">
      <c r="A16" s="65" t="s">
        <v>13</v>
      </c>
      <c r="B16" s="77">
        <f>B10-B15</f>
        <v>80809.0</v>
      </c>
      <c r="C16" s="77">
        <f>C10-C15</f>
        <v>89375.0</v>
      </c>
      <c r="D16" s="78">
        <f>D10-D15</f>
        <v>-8566.000000000002</v>
      </c>
      <c r="E16" s="82">
        <v>0.9042</v>
      </c>
      <c r="F16" s="77">
        <f>F10-F15</f>
        <v>49465.0</v>
      </c>
      <c r="G16" s="77">
        <f>G10-G15</f>
        <v>89375.0</v>
      </c>
      <c r="H16" s="78">
        <f>H10-H15</f>
        <v>-39910.0</v>
      </c>
      <c r="I16" s="82">
        <v>0.5535</v>
      </c>
      <c r="J16" s="77"/>
      <c r="K16" s="77">
        <f>K10-K15</f>
        <v>89375.0</v>
      </c>
      <c r="L16" s="78">
        <f>L10-L15</f>
        <v>-89375.0</v>
      </c>
      <c r="M16" s="82">
        <v>0</v>
      </c>
      <c r="N16" s="77"/>
      <c r="O16" s="77">
        <f>O10-O15</f>
        <v>89375.0</v>
      </c>
      <c r="P16" s="78">
        <f>P10-P15</f>
        <v>-89375.0</v>
      </c>
      <c r="Q16" s="82">
        <v>0</v>
      </c>
      <c r="R16" s="77"/>
      <c r="S16" s="77">
        <f>S10-S15</f>
        <v>89375.0</v>
      </c>
      <c r="T16" s="78">
        <f>T10-T15</f>
        <v>-89375.0</v>
      </c>
      <c r="U16" s="82">
        <v>0</v>
      </c>
      <c r="V16" s="77"/>
      <c r="W16" s="77">
        <f>W10-W15</f>
        <v>89375.0</v>
      </c>
      <c r="X16" s="78">
        <f>X10-X15</f>
        <v>-89375.0</v>
      </c>
      <c r="Y16" s="82">
        <v>0</v>
      </c>
      <c r="Z16" s="77"/>
      <c r="AA16" s="77">
        <f>AA10-AA15</f>
        <v>89375.0</v>
      </c>
      <c r="AB16" s="78">
        <f>AB10-AB15</f>
        <v>-89375.0</v>
      </c>
      <c r="AC16" s="82">
        <v>0</v>
      </c>
      <c r="AD16" s="77"/>
      <c r="AE16" s="77">
        <f>AE10-AE15</f>
        <v>89375.0</v>
      </c>
      <c r="AF16" s="78">
        <f>AF10-AF15</f>
        <v>-89375.0</v>
      </c>
      <c r="AG16" s="82">
        <v>0</v>
      </c>
      <c r="AH16" s="77"/>
      <c r="AI16" s="77">
        <f>AI10-AI15</f>
        <v>89375.0</v>
      </c>
      <c r="AJ16" s="78">
        <f>AJ10-AJ15</f>
        <v>-89375.0</v>
      </c>
      <c r="AK16" s="82">
        <v>0</v>
      </c>
      <c r="AL16" s="77"/>
      <c r="AM16" s="77">
        <f>AM10-AM15</f>
        <v>89375.0</v>
      </c>
      <c r="AN16" s="78">
        <f>AN10-AN15</f>
        <v>-89375.0</v>
      </c>
      <c r="AO16" s="82">
        <v>0</v>
      </c>
      <c r="AP16" s="77"/>
      <c r="AQ16" s="77">
        <f>AQ10-AQ15</f>
        <v>89375.0</v>
      </c>
      <c r="AR16" s="78">
        <f>AR10-AR15</f>
        <v>-89375.0</v>
      </c>
      <c r="AS16" s="82">
        <v>0</v>
      </c>
      <c r="AT16" s="77"/>
      <c r="AU16" s="77">
        <f>AU10-AU15</f>
        <v>89375.0</v>
      </c>
      <c r="AV16" s="78">
        <f>AV10-AV15</f>
        <v>-89375.0</v>
      </c>
      <c r="AW16" s="82">
        <v>0</v>
      </c>
      <c r="AX16" s="85">
        <f>B16+F16+J16+N16+R16+V16+Z16+AD16+AH16+AL16+AP16+AT16</f>
        <v>130274.0</v>
      </c>
      <c r="AY16" s="85">
        <f>C16+G16+K16+O16+S16+W16+AA16+AE16+AI16+AM16+AQ16+AU16</f>
        <v>1072500.0</v>
      </c>
      <c r="AZ16" s="86">
        <f>D16+H16+L16+P16+T16+X16+AB16+AF16+AJ16+AN16+AR16+AV16</f>
        <v>-942226.0</v>
      </c>
      <c r="BA16" s="82">
        <v>0.1215</v>
      </c>
    </row>
    <row r="17" spans="1:49" ht="16">
      <c r="A17" s="61" t="s">
        <v>14</v>
      </c>
      <c r="B17" s="75"/>
      <c r="C17" s="75"/>
      <c r="D17" s="75"/>
      <c r="E17" s="75" t="s">
        <v>3</v>
      </c>
      <c r="F17" s="75"/>
      <c r="G17" s="75"/>
      <c r="H17" s="75"/>
      <c r="I17" s="75" t="s">
        <v>3</v>
      </c>
      <c r="J17" s="75"/>
      <c r="K17" s="75"/>
      <c r="L17" s="75"/>
      <c r="M17" s="75" t="s">
        <v>3</v>
      </c>
      <c r="N17" s="75"/>
      <c r="O17" s="75"/>
      <c r="P17" s="75"/>
      <c r="Q17" s="75" t="s">
        <v>3</v>
      </c>
      <c r="R17" s="75"/>
      <c r="S17" s="75"/>
      <c r="T17" s="75"/>
      <c r="U17" s="75" t="s">
        <v>3</v>
      </c>
      <c r="V17" s="75"/>
      <c r="W17" s="75"/>
      <c r="X17" s="75"/>
      <c r="Y17" s="75" t="s">
        <v>3</v>
      </c>
      <c r="Z17" s="75"/>
      <c r="AA17" s="75"/>
      <c r="AB17" s="75"/>
      <c r="AC17" s="75" t="s">
        <v>3</v>
      </c>
      <c r="AD17" s="75"/>
      <c r="AE17" s="75"/>
      <c r="AF17" s="75"/>
      <c r="AG17" s="75" t="s">
        <v>3</v>
      </c>
      <c r="AH17" s="75"/>
      <c r="AI17" s="75"/>
      <c r="AJ17" s="75"/>
      <c r="AK17" s="75" t="s">
        <v>3</v>
      </c>
      <c r="AL17" s="75"/>
      <c r="AM17" s="75"/>
      <c r="AN17" s="75"/>
      <c r="AO17" s="75" t="s">
        <v>3</v>
      </c>
      <c r="AP17" s="75"/>
      <c r="AQ17" s="75"/>
      <c r="AR17" s="75"/>
      <c r="AS17" s="75" t="s">
        <v>3</v>
      </c>
      <c r="AT17" s="75"/>
      <c r="AU17" s="75"/>
      <c r="AV17" s="75"/>
      <c r="AW17" s="75" t="s">
        <v>3</v>
      </c>
    </row>
    <row r="18" spans="1:53" ht="16" outlineLevel="1">
      <c r="A18" s="62" t="s">
        <v>15</v>
      </c>
      <c r="B18" s="75"/>
      <c r="C18" s="75"/>
      <c r="D18" s="75"/>
      <c r="E18" s="75" t="s">
        <v>3</v>
      </c>
      <c r="F18" s="75"/>
      <c r="G18" s="75"/>
      <c r="H18" s="75"/>
      <c r="I18" s="75" t="s">
        <v>3</v>
      </c>
      <c r="J18" s="75"/>
      <c r="K18" s="75"/>
      <c r="L18" s="75"/>
      <c r="M18" s="75" t="s">
        <v>3</v>
      </c>
      <c r="N18" s="75"/>
      <c r="O18" s="75"/>
      <c r="P18" s="75"/>
      <c r="Q18" s="75" t="s">
        <v>3</v>
      </c>
      <c r="R18" s="75"/>
      <c r="S18" s="75"/>
      <c r="T18" s="75"/>
      <c r="U18" s="75" t="s">
        <v>3</v>
      </c>
      <c r="V18" s="75"/>
      <c r="W18" s="75"/>
      <c r="X18" s="75"/>
      <c r="Y18" s="75" t="s">
        <v>3</v>
      </c>
      <c r="Z18" s="75"/>
      <c r="AA18" s="75"/>
      <c r="AB18" s="75"/>
      <c r="AC18" s="75" t="s">
        <v>3</v>
      </c>
      <c r="AD18" s="75"/>
      <c r="AE18" s="75"/>
      <c r="AF18" s="75"/>
      <c r="AG18" s="75" t="s">
        <v>3</v>
      </c>
      <c r="AH18" s="75"/>
      <c r="AI18" s="75"/>
      <c r="AJ18" s="75"/>
      <c r="AK18" s="75" t="s">
        <v>3</v>
      </c>
      <c r="AL18" s="75"/>
      <c r="AM18" s="75"/>
      <c r="AN18" s="75"/>
      <c r="AO18" s="75" t="s">
        <v>3</v>
      </c>
      <c r="AP18" s="75"/>
      <c r="AQ18" s="75"/>
      <c r="AR18" s="75"/>
      <c r="AS18" s="75" t="s">
        <v>3</v>
      </c>
      <c r="AT18" s="75"/>
      <c r="AU18" s="75"/>
      <c r="AV18" s="75"/>
      <c r="AW18" s="75" t="s">
        <v>3</v>
      </c>
      <c r="AX18" s="75"/>
      <c r="AY18" s="75"/>
      <c r="AZ18" s="75"/>
      <c r="BA18" s="75" t="s">
        <v>3</v>
      </c>
    </row>
    <row r="19" spans="1:53" ht="16" outlineLevel="2">
      <c r="A19" s="63" t="s">
        <v>16</v>
      </c>
      <c r="B19" s="76">
        <v>674.88</v>
      </c>
      <c r="C19" s="75"/>
      <c r="D19" s="76">
        <v>674.88</v>
      </c>
      <c r="E19" s="75" t="s">
        <v>3</v>
      </c>
      <c r="F19" s="75"/>
      <c r="G19" s="75"/>
      <c r="H19" s="75"/>
      <c r="I19" s="75" t="s">
        <v>3</v>
      </c>
      <c r="J19" s="75"/>
      <c r="K19" s="75"/>
      <c r="L19" s="75"/>
      <c r="M19" s="75" t="s">
        <v>3</v>
      </c>
      <c r="N19" s="75"/>
      <c r="O19" s="75"/>
      <c r="P19" s="75"/>
      <c r="Q19" s="75" t="s">
        <v>3</v>
      </c>
      <c r="R19" s="75"/>
      <c r="S19" s="75"/>
      <c r="T19" s="75"/>
      <c r="U19" s="75" t="s">
        <v>3</v>
      </c>
      <c r="V19" s="75"/>
      <c r="W19" s="75"/>
      <c r="X19" s="75"/>
      <c r="Y19" s="75" t="s">
        <v>3</v>
      </c>
      <c r="Z19" s="75"/>
      <c r="AA19" s="75"/>
      <c r="AB19" s="75"/>
      <c r="AC19" s="75" t="s">
        <v>3</v>
      </c>
      <c r="AD19" s="75"/>
      <c r="AE19" s="75"/>
      <c r="AF19" s="75"/>
      <c r="AG19" s="75" t="s">
        <v>3</v>
      </c>
      <c r="AH19" s="75"/>
      <c r="AI19" s="75"/>
      <c r="AJ19" s="75"/>
      <c r="AK19" s="75" t="s">
        <v>3</v>
      </c>
      <c r="AL19" s="75"/>
      <c r="AM19" s="75"/>
      <c r="AN19" s="75"/>
      <c r="AO19" s="75" t="s">
        <v>3</v>
      </c>
      <c r="AP19" s="75"/>
      <c r="AQ19" s="75"/>
      <c r="AR19" s="75"/>
      <c r="AS19" s="75" t="s">
        <v>3</v>
      </c>
      <c r="AT19" s="75"/>
      <c r="AU19" s="75"/>
      <c r="AV19" s="75"/>
      <c r="AW19" s="75" t="s">
        <v>3</v>
      </c>
      <c r="AX19" s="76">
        <f>B19+F19+J19+N19+R19+V19+Z19+AD19+AH19+AL19+AP19+AT19</f>
        <v>674.88</v>
      </c>
      <c r="AY19" s="75"/>
      <c r="AZ19" s="76">
        <f>D19+H19+L19+P19+T19+X19+AB19+AF19+AJ19+AN19+AR19+AV19</f>
        <v>674.88</v>
      </c>
      <c r="BA19" s="75" t="s">
        <v>3</v>
      </c>
    </row>
    <row r="20" spans="1:53" ht="16" outlineLevel="1">
      <c r="A20" s="64" t="s">
        <v>17</v>
      </c>
      <c r="B20" s="77">
        <f>B18+B19</f>
        <v>674.88</v>
      </c>
      <c r="C20" s="77"/>
      <c r="D20" s="77">
        <f>D18+D19</f>
        <v>674.88</v>
      </c>
      <c r="E20" s="83" t="s">
        <v>3</v>
      </c>
      <c r="F20" s="77"/>
      <c r="G20" s="77"/>
      <c r="H20" s="77"/>
      <c r="I20" s="83" t="s">
        <v>3</v>
      </c>
      <c r="J20" s="77"/>
      <c r="K20" s="77"/>
      <c r="L20" s="77"/>
      <c r="M20" s="83" t="s">
        <v>3</v>
      </c>
      <c r="N20" s="77"/>
      <c r="O20" s="77"/>
      <c r="P20" s="77"/>
      <c r="Q20" s="83" t="s">
        <v>3</v>
      </c>
      <c r="R20" s="77"/>
      <c r="S20" s="77"/>
      <c r="T20" s="77"/>
      <c r="U20" s="83" t="s">
        <v>3</v>
      </c>
      <c r="V20" s="77"/>
      <c r="W20" s="77"/>
      <c r="X20" s="77"/>
      <c r="Y20" s="83" t="s">
        <v>3</v>
      </c>
      <c r="Z20" s="77"/>
      <c r="AA20" s="77"/>
      <c r="AB20" s="77"/>
      <c r="AC20" s="83" t="s">
        <v>3</v>
      </c>
      <c r="AD20" s="77"/>
      <c r="AE20" s="77"/>
      <c r="AF20" s="77"/>
      <c r="AG20" s="83" t="s">
        <v>3</v>
      </c>
      <c r="AH20" s="77"/>
      <c r="AI20" s="77"/>
      <c r="AJ20" s="77"/>
      <c r="AK20" s="83" t="s">
        <v>3</v>
      </c>
      <c r="AL20" s="77"/>
      <c r="AM20" s="77"/>
      <c r="AN20" s="77"/>
      <c r="AO20" s="83" t="s">
        <v>3</v>
      </c>
      <c r="AP20" s="77"/>
      <c r="AQ20" s="77"/>
      <c r="AR20" s="77"/>
      <c r="AS20" s="83" t="s">
        <v>3</v>
      </c>
      <c r="AT20" s="77"/>
      <c r="AU20" s="77"/>
      <c r="AV20" s="77"/>
      <c r="AW20" s="83" t="s">
        <v>3</v>
      </c>
      <c r="AX20" s="85">
        <f>B20+F20+J20+N20+R20+V20+Z20+AD20+AH20+AL20+AP20+AT20</f>
        <v>674.88</v>
      </c>
      <c r="AY20" s="77"/>
      <c r="AZ20" s="85">
        <f>D20+H20+L20+P20+T20+X20+AB20+AF20+AJ20+AN20+AR20+AV20</f>
        <v>674.88</v>
      </c>
      <c r="BA20" s="83" t="s">
        <v>3</v>
      </c>
    </row>
    <row r="21" spans="1:53" ht="16" outlineLevel="1">
      <c r="A21" s="62" t="s">
        <v>18</v>
      </c>
      <c r="B21" s="76">
        <v>269.9</v>
      </c>
      <c r="C21" s="75"/>
      <c r="D21" s="76">
        <v>269.9</v>
      </c>
      <c r="E21" s="75" t="s">
        <v>3</v>
      </c>
      <c r="F21" s="76">
        <v>145.0</v>
      </c>
      <c r="G21" s="75"/>
      <c r="H21" s="76">
        <v>145.0</v>
      </c>
      <c r="I21" s="75" t="s">
        <v>3</v>
      </c>
      <c r="J21" s="75"/>
      <c r="K21" s="75"/>
      <c r="L21" s="75"/>
      <c r="M21" s="75" t="s">
        <v>3</v>
      </c>
      <c r="N21" s="75"/>
      <c r="O21" s="75"/>
      <c r="P21" s="75"/>
      <c r="Q21" s="75" t="s">
        <v>3</v>
      </c>
      <c r="R21" s="75"/>
      <c r="S21" s="75"/>
      <c r="T21" s="75"/>
      <c r="U21" s="75" t="s">
        <v>3</v>
      </c>
      <c r="V21" s="75"/>
      <c r="W21" s="75"/>
      <c r="X21" s="75"/>
      <c r="Y21" s="75" t="s">
        <v>3</v>
      </c>
      <c r="Z21" s="75"/>
      <c r="AA21" s="75"/>
      <c r="AB21" s="75"/>
      <c r="AC21" s="75" t="s">
        <v>3</v>
      </c>
      <c r="AD21" s="75"/>
      <c r="AE21" s="75"/>
      <c r="AF21" s="75"/>
      <c r="AG21" s="75" t="s">
        <v>3</v>
      </c>
      <c r="AH21" s="75"/>
      <c r="AI21" s="75"/>
      <c r="AJ21" s="75"/>
      <c r="AK21" s="75" t="s">
        <v>3</v>
      </c>
      <c r="AL21" s="75"/>
      <c r="AM21" s="75"/>
      <c r="AN21" s="75"/>
      <c r="AO21" s="75" t="s">
        <v>3</v>
      </c>
      <c r="AP21" s="75"/>
      <c r="AQ21" s="75"/>
      <c r="AR21" s="75"/>
      <c r="AS21" s="75" t="s">
        <v>3</v>
      </c>
      <c r="AT21" s="75"/>
      <c r="AU21" s="75"/>
      <c r="AV21" s="75"/>
      <c r="AW21" s="75" t="s">
        <v>3</v>
      </c>
      <c r="AX21" s="76">
        <f>B21+F21+J21+N21+R21+V21+Z21+AD21+AH21+AL21+AP21+AT21</f>
        <v>414.9</v>
      </c>
      <c r="AY21" s="75"/>
      <c r="AZ21" s="76">
        <f>D21+H21+L21+P21+T21+X21+AB21+AF21+AJ21+AN21+AR21+AV21</f>
        <v>414.9</v>
      </c>
      <c r="BA21" s="75" t="s">
        <v>3</v>
      </c>
    </row>
    <row r="22" spans="1:53" ht="16" outlineLevel="2">
      <c r="A22" s="63" t="s">
        <v>19</v>
      </c>
      <c r="B22" s="76">
        <v>51.4</v>
      </c>
      <c r="C22" s="75"/>
      <c r="D22" s="76">
        <v>51.4</v>
      </c>
      <c r="E22" s="75" t="s">
        <v>3</v>
      </c>
      <c r="F22" s="76">
        <v>1.5</v>
      </c>
      <c r="G22" s="75"/>
      <c r="H22" s="76">
        <v>1.5</v>
      </c>
      <c r="I22" s="75" t="s">
        <v>3</v>
      </c>
      <c r="J22" s="75"/>
      <c r="K22" s="75"/>
      <c r="L22" s="75"/>
      <c r="M22" s="75" t="s">
        <v>3</v>
      </c>
      <c r="N22" s="75"/>
      <c r="O22" s="75"/>
      <c r="P22" s="75"/>
      <c r="Q22" s="75" t="s">
        <v>3</v>
      </c>
      <c r="R22" s="75"/>
      <c r="S22" s="75"/>
      <c r="T22" s="75"/>
      <c r="U22" s="75" t="s">
        <v>3</v>
      </c>
      <c r="V22" s="75"/>
      <c r="W22" s="75"/>
      <c r="X22" s="75"/>
      <c r="Y22" s="75" t="s">
        <v>3</v>
      </c>
      <c r="Z22" s="75"/>
      <c r="AA22" s="75"/>
      <c r="AB22" s="75"/>
      <c r="AC22" s="75" t="s">
        <v>3</v>
      </c>
      <c r="AD22" s="75"/>
      <c r="AE22" s="75"/>
      <c r="AF22" s="75"/>
      <c r="AG22" s="75" t="s">
        <v>3</v>
      </c>
      <c r="AH22" s="75"/>
      <c r="AI22" s="75"/>
      <c r="AJ22" s="75"/>
      <c r="AK22" s="75" t="s">
        <v>3</v>
      </c>
      <c r="AL22" s="75"/>
      <c r="AM22" s="75"/>
      <c r="AN22" s="75"/>
      <c r="AO22" s="75" t="s">
        <v>3</v>
      </c>
      <c r="AP22" s="75"/>
      <c r="AQ22" s="75"/>
      <c r="AR22" s="75"/>
      <c r="AS22" s="75" t="s">
        <v>3</v>
      </c>
      <c r="AT22" s="75"/>
      <c r="AU22" s="75"/>
      <c r="AV22" s="75"/>
      <c r="AW22" s="75" t="s">
        <v>3</v>
      </c>
      <c r="AX22" s="76">
        <f>B22+F22+J22+N22+R22+V22+Z22+AD22+AH22+AL22+AP22+AT22</f>
        <v>52.9</v>
      </c>
      <c r="AY22" s="75"/>
      <c r="AZ22" s="76">
        <f>D22+H22+L22+P22+T22+X22+AB22+AF22+AJ22+AN22+AR22+AV22</f>
        <v>52.9</v>
      </c>
      <c r="BA22" s="75" t="s">
        <v>3</v>
      </c>
    </row>
    <row r="23" spans="1:53" ht="16" outlineLevel="2">
      <c r="A23" s="63" t="s">
        <v>20</v>
      </c>
      <c r="B23" s="76">
        <v>2411.17</v>
      </c>
      <c r="C23" s="76">
        <v>125.0</v>
      </c>
      <c r="D23" s="76">
        <v>2286.17</v>
      </c>
      <c r="E23" s="81">
        <v>19.2894</v>
      </c>
      <c r="F23" s="75"/>
      <c r="G23" s="76">
        <v>125.0</v>
      </c>
      <c r="H23" s="80">
        <v>-125.0</v>
      </c>
      <c r="I23" s="81">
        <v>0</v>
      </c>
      <c r="J23" s="75"/>
      <c r="K23" s="76">
        <v>125.0</v>
      </c>
      <c r="L23" s="80">
        <v>-125.0</v>
      </c>
      <c r="M23" s="81">
        <v>0</v>
      </c>
      <c r="N23" s="75"/>
      <c r="O23" s="76">
        <v>125.0</v>
      </c>
      <c r="P23" s="80">
        <v>-125.0</v>
      </c>
      <c r="Q23" s="81">
        <v>0</v>
      </c>
      <c r="R23" s="75"/>
      <c r="S23" s="76">
        <v>125.0</v>
      </c>
      <c r="T23" s="80">
        <v>-125.0</v>
      </c>
      <c r="U23" s="81">
        <v>0</v>
      </c>
      <c r="V23" s="75"/>
      <c r="W23" s="76">
        <v>125.0</v>
      </c>
      <c r="X23" s="80">
        <v>-125.0</v>
      </c>
      <c r="Y23" s="81">
        <v>0</v>
      </c>
      <c r="Z23" s="75"/>
      <c r="AA23" s="76">
        <v>125.0</v>
      </c>
      <c r="AB23" s="80">
        <v>-125.0</v>
      </c>
      <c r="AC23" s="81">
        <v>0</v>
      </c>
      <c r="AD23" s="75"/>
      <c r="AE23" s="76">
        <v>125.0</v>
      </c>
      <c r="AF23" s="80">
        <v>-125.0</v>
      </c>
      <c r="AG23" s="81">
        <v>0</v>
      </c>
      <c r="AH23" s="75"/>
      <c r="AI23" s="76">
        <v>125.0</v>
      </c>
      <c r="AJ23" s="80">
        <v>-125.0</v>
      </c>
      <c r="AK23" s="81">
        <v>0</v>
      </c>
      <c r="AL23" s="75"/>
      <c r="AM23" s="76">
        <v>125.0</v>
      </c>
      <c r="AN23" s="80">
        <v>-125.0</v>
      </c>
      <c r="AO23" s="81">
        <v>0</v>
      </c>
      <c r="AP23" s="75"/>
      <c r="AQ23" s="76">
        <v>125.0</v>
      </c>
      <c r="AR23" s="80">
        <v>-125.0</v>
      </c>
      <c r="AS23" s="81">
        <v>0</v>
      </c>
      <c r="AT23" s="75"/>
      <c r="AU23" s="76">
        <v>125.0</v>
      </c>
      <c r="AV23" s="80">
        <v>-125.0</v>
      </c>
      <c r="AW23" s="81">
        <v>0</v>
      </c>
      <c r="AX23" s="76">
        <f>B23+F23+J23+N23+R23+V23+Z23+AD23+AH23+AL23+AP23+AT23</f>
        <v>2411.17</v>
      </c>
      <c r="AY23" s="76">
        <f>C23+G23+K23+O23+S23+W23+AA23+AE23+AI23+AM23+AQ23+AU23</f>
        <v>1500.0</v>
      </c>
      <c r="AZ23" s="76">
        <f>D23+H23+L23+P23+T23+X23+AB23+AF23+AJ23+AN23+AR23+AV23</f>
        <v>911.1700000000001</v>
      </c>
      <c r="BA23" s="81">
        <v>1.6074000000000002</v>
      </c>
    </row>
    <row r="24" spans="1:53" ht="16" outlineLevel="2">
      <c r="A24" s="63" t="s">
        <v>21</v>
      </c>
      <c r="B24" s="76">
        <v>457.0</v>
      </c>
      <c r="C24" s="76">
        <v>41.67</v>
      </c>
      <c r="D24" s="76">
        <v>415.33</v>
      </c>
      <c r="E24" s="81">
        <v>10.9671</v>
      </c>
      <c r="F24" s="75"/>
      <c r="G24" s="76">
        <v>41.67</v>
      </c>
      <c r="H24" s="80">
        <v>-41.67</v>
      </c>
      <c r="I24" s="81">
        <v>0</v>
      </c>
      <c r="J24" s="75"/>
      <c r="K24" s="76">
        <v>41.67</v>
      </c>
      <c r="L24" s="80">
        <v>-41.67</v>
      </c>
      <c r="M24" s="81">
        <v>0</v>
      </c>
      <c r="N24" s="75"/>
      <c r="O24" s="76">
        <v>41.67</v>
      </c>
      <c r="P24" s="80">
        <v>-41.67</v>
      </c>
      <c r="Q24" s="81">
        <v>0</v>
      </c>
      <c r="R24" s="75"/>
      <c r="S24" s="76">
        <v>41.67</v>
      </c>
      <c r="T24" s="80">
        <v>-41.67</v>
      </c>
      <c r="U24" s="81">
        <v>0</v>
      </c>
      <c r="V24" s="75"/>
      <c r="W24" s="76">
        <v>41.67</v>
      </c>
      <c r="X24" s="80">
        <v>-41.67</v>
      </c>
      <c r="Y24" s="81">
        <v>0</v>
      </c>
      <c r="Z24" s="75"/>
      <c r="AA24" s="76">
        <v>41.67</v>
      </c>
      <c r="AB24" s="80">
        <v>-41.67</v>
      </c>
      <c r="AC24" s="81">
        <v>0</v>
      </c>
      <c r="AD24" s="75"/>
      <c r="AE24" s="76">
        <v>41.67</v>
      </c>
      <c r="AF24" s="80">
        <v>-41.67</v>
      </c>
      <c r="AG24" s="81">
        <v>0</v>
      </c>
      <c r="AH24" s="75"/>
      <c r="AI24" s="76">
        <v>41.67</v>
      </c>
      <c r="AJ24" s="80">
        <v>-41.67</v>
      </c>
      <c r="AK24" s="81">
        <v>0</v>
      </c>
      <c r="AL24" s="75"/>
      <c r="AM24" s="76">
        <v>41.67</v>
      </c>
      <c r="AN24" s="80">
        <v>-41.67</v>
      </c>
      <c r="AO24" s="81">
        <v>0</v>
      </c>
      <c r="AP24" s="75"/>
      <c r="AQ24" s="76">
        <v>41.67</v>
      </c>
      <c r="AR24" s="80">
        <v>-41.67</v>
      </c>
      <c r="AS24" s="81">
        <v>0</v>
      </c>
      <c r="AT24" s="75"/>
      <c r="AU24" s="76">
        <v>41.63</v>
      </c>
      <c r="AV24" s="80">
        <v>-41.63</v>
      </c>
      <c r="AW24" s="81">
        <v>0</v>
      </c>
      <c r="AX24" s="76">
        <f>B24+F24+J24+N24+R24+V24+Z24+AD24+AH24+AL24+AP24+AT24</f>
        <v>457.0</v>
      </c>
      <c r="AY24" s="76">
        <f>C24+G24+K24+O24+S24+W24+AA24+AE24+AI24+AM24+AQ24+AU24</f>
        <v>500.0000000000001</v>
      </c>
      <c r="AZ24" s="80">
        <f>D24+H24+L24+P24+T24+X24+AB24+AF24+AJ24+AN24+AR24+AV24</f>
        <v>-43.00000000000012</v>
      </c>
      <c r="BA24" s="81">
        <v>0.914</v>
      </c>
    </row>
    <row r="25" spans="1:53" ht="16" outlineLevel="2">
      <c r="A25" s="63" t="s">
        <v>22</v>
      </c>
      <c r="B25" s="75"/>
      <c r="C25" s="76">
        <v>41.67</v>
      </c>
      <c r="D25" s="80">
        <v>-41.67</v>
      </c>
      <c r="E25" s="81">
        <v>0</v>
      </c>
      <c r="F25" s="75"/>
      <c r="G25" s="76">
        <v>41.67</v>
      </c>
      <c r="H25" s="80">
        <v>-41.67</v>
      </c>
      <c r="I25" s="81">
        <v>0</v>
      </c>
      <c r="J25" s="75"/>
      <c r="K25" s="76">
        <v>41.67</v>
      </c>
      <c r="L25" s="80">
        <v>-41.67</v>
      </c>
      <c r="M25" s="81">
        <v>0</v>
      </c>
      <c r="N25" s="75"/>
      <c r="O25" s="76">
        <v>41.67</v>
      </c>
      <c r="P25" s="80">
        <v>-41.67</v>
      </c>
      <c r="Q25" s="81">
        <v>0</v>
      </c>
      <c r="R25" s="75"/>
      <c r="S25" s="76">
        <v>41.67</v>
      </c>
      <c r="T25" s="80">
        <v>-41.67</v>
      </c>
      <c r="U25" s="81">
        <v>0</v>
      </c>
      <c r="V25" s="75"/>
      <c r="W25" s="76">
        <v>41.67</v>
      </c>
      <c r="X25" s="80">
        <v>-41.67</v>
      </c>
      <c r="Y25" s="81">
        <v>0</v>
      </c>
      <c r="Z25" s="75"/>
      <c r="AA25" s="76">
        <v>41.67</v>
      </c>
      <c r="AB25" s="80">
        <v>-41.67</v>
      </c>
      <c r="AC25" s="81">
        <v>0</v>
      </c>
      <c r="AD25" s="75"/>
      <c r="AE25" s="76">
        <v>41.67</v>
      </c>
      <c r="AF25" s="80">
        <v>-41.67</v>
      </c>
      <c r="AG25" s="81">
        <v>0</v>
      </c>
      <c r="AH25" s="75"/>
      <c r="AI25" s="76">
        <v>41.67</v>
      </c>
      <c r="AJ25" s="80">
        <v>-41.67</v>
      </c>
      <c r="AK25" s="81">
        <v>0</v>
      </c>
      <c r="AL25" s="75"/>
      <c r="AM25" s="76">
        <v>41.67</v>
      </c>
      <c r="AN25" s="80">
        <v>-41.67</v>
      </c>
      <c r="AO25" s="81">
        <v>0</v>
      </c>
      <c r="AP25" s="75"/>
      <c r="AQ25" s="76">
        <v>41.67</v>
      </c>
      <c r="AR25" s="80">
        <v>-41.67</v>
      </c>
      <c r="AS25" s="81">
        <v>0</v>
      </c>
      <c r="AT25" s="75"/>
      <c r="AU25" s="76">
        <v>41.63</v>
      </c>
      <c r="AV25" s="80">
        <v>-41.63</v>
      </c>
      <c r="AW25" s="81">
        <v>0</v>
      </c>
      <c r="AX25" s="75"/>
      <c r="AY25" s="76">
        <f>C25+G25+K25+O25+S25+W25+AA25+AE25+AI25+AM25+AQ25+AU25</f>
        <v>500.0000000000001</v>
      </c>
      <c r="AZ25" s="80">
        <f>D25+H25+L25+P25+T25+X25+AB25+AF25+AJ25+AN25+AR25+AV25</f>
        <v>-500.0000000000001</v>
      </c>
      <c r="BA25" s="87">
        <f>IFERROR(E25+I25+M25+Q25+U25+Y25+AC25+AG25+AK25+AO25+AS25+AW25,"")</f>
        <v>0.0</v>
      </c>
    </row>
    <row r="26" spans="1:53" ht="16" outlineLevel="1">
      <c r="A26" s="64" t="s">
        <v>23</v>
      </c>
      <c r="B26" s="77">
        <f>B21+B22+B23+B24+B25</f>
        <v>3189.4700000000003</v>
      </c>
      <c r="C26" s="77">
        <f>C21+C22+C23+C24+C25</f>
        <v>208.34000000000003</v>
      </c>
      <c r="D26" s="77">
        <f>D21+D22+D23+D24+D25</f>
        <v>2981.13</v>
      </c>
      <c r="E26" s="82">
        <v>15.309000000000001</v>
      </c>
      <c r="F26" s="77">
        <f>F21+F22+F23+F24+F25</f>
        <v>146.5</v>
      </c>
      <c r="G26" s="77">
        <f>G21+G22+G23+G24+G25</f>
        <v>208.34000000000003</v>
      </c>
      <c r="H26" s="78">
        <f>H21+H22+H23+H24+H25</f>
        <v>-61.84</v>
      </c>
      <c r="I26" s="82">
        <v>0.7031999999999999</v>
      </c>
      <c r="J26" s="77"/>
      <c r="K26" s="77">
        <f>K21+K22+K23+K24+K25</f>
        <v>208.34000000000003</v>
      </c>
      <c r="L26" s="78">
        <f>L21+L22+L23+L24+L25</f>
        <v>-208.34000000000003</v>
      </c>
      <c r="M26" s="82">
        <v>0</v>
      </c>
      <c r="N26" s="77"/>
      <c r="O26" s="77">
        <f>O21+O22+O23+O24+O25</f>
        <v>208.34000000000003</v>
      </c>
      <c r="P26" s="78">
        <f>P21+P22+P23+P24+P25</f>
        <v>-208.34000000000003</v>
      </c>
      <c r="Q26" s="82">
        <v>0</v>
      </c>
      <c r="R26" s="77"/>
      <c r="S26" s="77">
        <f>S21+S22+S23+S24+S25</f>
        <v>208.34000000000003</v>
      </c>
      <c r="T26" s="78">
        <f>T21+T22+T23+T24+T25</f>
        <v>-208.34000000000003</v>
      </c>
      <c r="U26" s="82">
        <v>0</v>
      </c>
      <c r="V26" s="77"/>
      <c r="W26" s="77">
        <f>W21+W22+W23+W24+W25</f>
        <v>208.34000000000003</v>
      </c>
      <c r="X26" s="78">
        <f>X21+X22+X23+X24+X25</f>
        <v>-208.34000000000003</v>
      </c>
      <c r="Y26" s="82">
        <v>0</v>
      </c>
      <c r="Z26" s="77"/>
      <c r="AA26" s="77">
        <f>AA21+AA22+AA23+AA24+AA25</f>
        <v>208.34000000000003</v>
      </c>
      <c r="AB26" s="78">
        <f>AB21+AB22+AB23+AB24+AB25</f>
        <v>-208.34000000000003</v>
      </c>
      <c r="AC26" s="82">
        <v>0</v>
      </c>
      <c r="AD26" s="77"/>
      <c r="AE26" s="77">
        <f>AE21+AE22+AE23+AE24+AE25</f>
        <v>208.34000000000003</v>
      </c>
      <c r="AF26" s="78">
        <f>AF21+AF22+AF23+AF24+AF25</f>
        <v>-208.34000000000003</v>
      </c>
      <c r="AG26" s="82">
        <v>0</v>
      </c>
      <c r="AH26" s="77"/>
      <c r="AI26" s="77">
        <f>AI21+AI22+AI23+AI24+AI25</f>
        <v>208.34000000000003</v>
      </c>
      <c r="AJ26" s="78">
        <f>AJ21+AJ22+AJ23+AJ24+AJ25</f>
        <v>-208.34000000000003</v>
      </c>
      <c r="AK26" s="82">
        <v>0</v>
      </c>
      <c r="AL26" s="77"/>
      <c r="AM26" s="77">
        <f>AM21+AM22+AM23+AM24+AM25</f>
        <v>208.34000000000003</v>
      </c>
      <c r="AN26" s="78">
        <f>AN21+AN22+AN23+AN24+AN25</f>
        <v>-208.34000000000003</v>
      </c>
      <c r="AO26" s="82">
        <v>0</v>
      </c>
      <c r="AP26" s="77"/>
      <c r="AQ26" s="77">
        <f>AQ21+AQ22+AQ23+AQ24+AQ25</f>
        <v>208.34000000000003</v>
      </c>
      <c r="AR26" s="78">
        <f>AR21+AR22+AR23+AR24+AR25</f>
        <v>-208.34000000000003</v>
      </c>
      <c r="AS26" s="82">
        <v>0</v>
      </c>
      <c r="AT26" s="77"/>
      <c r="AU26" s="77">
        <f>AU21+AU22+AU23+AU24+AU25</f>
        <v>208.26</v>
      </c>
      <c r="AV26" s="78">
        <f>AV21+AV22+AV23+AV24+AV25</f>
        <v>-208.26</v>
      </c>
      <c r="AW26" s="82">
        <v>0</v>
      </c>
      <c r="AX26" s="85">
        <f>B26+F26+J26+N26+R26+V26+Z26+AD26+AH26+AL26+AP26+AT26</f>
        <v>3335.9700000000003</v>
      </c>
      <c r="AY26" s="85">
        <f>C26+G26+K26+O26+S26+W26+AA26+AE26+AI26+AM26+AQ26+AU26</f>
        <v>2500.000000000001</v>
      </c>
      <c r="AZ26" s="85">
        <f>D26+H26+L26+P26+T26+X26+AB26+AF26+AJ26+AN26+AR26+AV26</f>
        <v>835.9699999999987</v>
      </c>
      <c r="BA26" s="82">
        <v>1.3344</v>
      </c>
    </row>
    <row r="27" spans="1:53" ht="16" outlineLevel="1">
      <c r="A27" s="62" t="s">
        <v>24</v>
      </c>
      <c r="B27" s="76">
        <v>932.0</v>
      </c>
      <c r="C27" s="76">
        <v>1500.0</v>
      </c>
      <c r="D27" s="80">
        <v>-568.0</v>
      </c>
      <c r="E27" s="81">
        <v>0.6213000000000001</v>
      </c>
      <c r="F27" s="75"/>
      <c r="G27" s="76">
        <v>1500.0</v>
      </c>
      <c r="H27" s="80">
        <v>-1500.0</v>
      </c>
      <c r="I27" s="81">
        <v>0</v>
      </c>
      <c r="J27" s="75"/>
      <c r="K27" s="76">
        <v>1500.0</v>
      </c>
      <c r="L27" s="80">
        <v>-1500.0</v>
      </c>
      <c r="M27" s="81">
        <v>0</v>
      </c>
      <c r="N27" s="75"/>
      <c r="O27" s="76">
        <v>1500.0</v>
      </c>
      <c r="P27" s="80">
        <v>-1500.0</v>
      </c>
      <c r="Q27" s="81">
        <v>0</v>
      </c>
      <c r="R27" s="75"/>
      <c r="S27" s="76">
        <v>1500.0</v>
      </c>
      <c r="T27" s="80">
        <v>-1500.0</v>
      </c>
      <c r="U27" s="81">
        <v>0</v>
      </c>
      <c r="V27" s="75"/>
      <c r="W27" s="76">
        <v>1500.0</v>
      </c>
      <c r="X27" s="80">
        <v>-1500.0</v>
      </c>
      <c r="Y27" s="81">
        <v>0</v>
      </c>
      <c r="Z27" s="75"/>
      <c r="AA27" s="76">
        <v>1500.0</v>
      </c>
      <c r="AB27" s="80">
        <v>-1500.0</v>
      </c>
      <c r="AC27" s="81">
        <v>0</v>
      </c>
      <c r="AD27" s="75"/>
      <c r="AE27" s="76">
        <v>1500.0</v>
      </c>
      <c r="AF27" s="80">
        <v>-1500.0</v>
      </c>
      <c r="AG27" s="81">
        <v>0</v>
      </c>
      <c r="AH27" s="75"/>
      <c r="AI27" s="76">
        <v>1500.0</v>
      </c>
      <c r="AJ27" s="80">
        <v>-1500.0</v>
      </c>
      <c r="AK27" s="81">
        <v>0</v>
      </c>
      <c r="AL27" s="75"/>
      <c r="AM27" s="76">
        <v>1500.0</v>
      </c>
      <c r="AN27" s="80">
        <v>-1500.0</v>
      </c>
      <c r="AO27" s="81">
        <v>0</v>
      </c>
      <c r="AP27" s="75"/>
      <c r="AQ27" s="76">
        <v>1500.0</v>
      </c>
      <c r="AR27" s="80">
        <v>-1500.0</v>
      </c>
      <c r="AS27" s="81">
        <v>0</v>
      </c>
      <c r="AT27" s="75"/>
      <c r="AU27" s="76">
        <v>1500.0</v>
      </c>
      <c r="AV27" s="80">
        <v>-1500.0</v>
      </c>
      <c r="AW27" s="81">
        <v>0</v>
      </c>
      <c r="AX27" s="76">
        <f>B27+F27+J27+N27+R27+V27+Z27+AD27+AH27+AL27+AP27+AT27</f>
        <v>932.0</v>
      </c>
      <c r="AY27" s="76">
        <f>C27+G27+K27+O27+S27+W27+AA27+AE27+AI27+AM27+AQ27+AU27</f>
        <v>18000.0</v>
      </c>
      <c r="AZ27" s="80">
        <f>D27+H27+L27+P27+T27+X27+AB27+AF27+AJ27+AN27+AR27+AV27</f>
        <v>-17068.0</v>
      </c>
      <c r="BA27" s="81">
        <v>0.0518</v>
      </c>
    </row>
    <row r="28" spans="1:53" ht="16" outlineLevel="2">
      <c r="A28" s="63" t="s">
        <v>25</v>
      </c>
      <c r="B28" s="76">
        <v>565.45</v>
      </c>
      <c r="C28" s="75"/>
      <c r="D28" s="76">
        <v>565.45</v>
      </c>
      <c r="E28" s="75" t="s">
        <v>3</v>
      </c>
      <c r="F28" s="75"/>
      <c r="G28" s="75"/>
      <c r="H28" s="75"/>
      <c r="I28" s="75" t="s">
        <v>3</v>
      </c>
      <c r="J28" s="75"/>
      <c r="K28" s="75"/>
      <c r="L28" s="75"/>
      <c r="M28" s="75" t="s">
        <v>3</v>
      </c>
      <c r="N28" s="75"/>
      <c r="O28" s="75"/>
      <c r="P28" s="75"/>
      <c r="Q28" s="75" t="s">
        <v>3</v>
      </c>
      <c r="R28" s="75"/>
      <c r="S28" s="75"/>
      <c r="T28" s="75"/>
      <c r="U28" s="75" t="s">
        <v>3</v>
      </c>
      <c r="V28" s="75"/>
      <c r="W28" s="75"/>
      <c r="X28" s="75"/>
      <c r="Y28" s="75" t="s">
        <v>3</v>
      </c>
      <c r="Z28" s="75"/>
      <c r="AA28" s="75"/>
      <c r="AB28" s="75"/>
      <c r="AC28" s="75" t="s">
        <v>3</v>
      </c>
      <c r="AD28" s="75"/>
      <c r="AE28" s="75"/>
      <c r="AF28" s="75"/>
      <c r="AG28" s="75" t="s">
        <v>3</v>
      </c>
      <c r="AH28" s="75"/>
      <c r="AI28" s="75"/>
      <c r="AJ28" s="75"/>
      <c r="AK28" s="75" t="s">
        <v>3</v>
      </c>
      <c r="AL28" s="75"/>
      <c r="AM28" s="75"/>
      <c r="AN28" s="75"/>
      <c r="AO28" s="75" t="s">
        <v>3</v>
      </c>
      <c r="AP28" s="75"/>
      <c r="AQ28" s="75"/>
      <c r="AR28" s="75"/>
      <c r="AS28" s="75" t="s">
        <v>3</v>
      </c>
      <c r="AT28" s="75"/>
      <c r="AU28" s="75"/>
      <c r="AV28" s="75"/>
      <c r="AW28" s="75" t="s">
        <v>3</v>
      </c>
      <c r="AX28" s="76">
        <f>B28+F28+J28+N28+R28+V28+Z28+AD28+AH28+AL28+AP28+AT28</f>
        <v>565.45</v>
      </c>
      <c r="AY28" s="75"/>
      <c r="AZ28" s="76">
        <f>D28+H28+L28+P28+T28+X28+AB28+AF28+AJ28+AN28+AR28+AV28</f>
        <v>565.45</v>
      </c>
      <c r="BA28" s="75" t="s">
        <v>3</v>
      </c>
    </row>
    <row r="29" spans="1:53" ht="16" outlineLevel="1">
      <c r="A29" s="64" t="s">
        <v>26</v>
      </c>
      <c r="B29" s="77">
        <f>B27+B28</f>
        <v>1497.45</v>
      </c>
      <c r="C29" s="77">
        <f>C27+C28</f>
        <v>1500.0</v>
      </c>
      <c r="D29" s="78">
        <f>D27+D28</f>
        <v>-2.5499999999999545</v>
      </c>
      <c r="E29" s="82">
        <v>0.9983</v>
      </c>
      <c r="F29" s="77"/>
      <c r="G29" s="77">
        <f>G27+G28</f>
        <v>1500.0</v>
      </c>
      <c r="H29" s="78">
        <f>H27+H28</f>
        <v>-1500.0</v>
      </c>
      <c r="I29" s="82">
        <v>0</v>
      </c>
      <c r="J29" s="77"/>
      <c r="K29" s="77">
        <f>K27+K28</f>
        <v>1500.0</v>
      </c>
      <c r="L29" s="78">
        <f>L27+L28</f>
        <v>-1500.0</v>
      </c>
      <c r="M29" s="82">
        <v>0</v>
      </c>
      <c r="N29" s="77"/>
      <c r="O29" s="77">
        <f>O27+O28</f>
        <v>1500.0</v>
      </c>
      <c r="P29" s="78">
        <f>P27+P28</f>
        <v>-1500.0</v>
      </c>
      <c r="Q29" s="82">
        <v>0</v>
      </c>
      <c r="R29" s="77"/>
      <c r="S29" s="77">
        <f>S27+S28</f>
        <v>1500.0</v>
      </c>
      <c r="T29" s="78">
        <f>T27+T28</f>
        <v>-1500.0</v>
      </c>
      <c r="U29" s="82">
        <v>0</v>
      </c>
      <c r="V29" s="77"/>
      <c r="W29" s="77">
        <f>W27+W28</f>
        <v>1500.0</v>
      </c>
      <c r="X29" s="78">
        <f>X27+X28</f>
        <v>-1500.0</v>
      </c>
      <c r="Y29" s="82">
        <v>0</v>
      </c>
      <c r="Z29" s="77"/>
      <c r="AA29" s="77">
        <f>AA27+AA28</f>
        <v>1500.0</v>
      </c>
      <c r="AB29" s="78">
        <f>AB27+AB28</f>
        <v>-1500.0</v>
      </c>
      <c r="AC29" s="82">
        <v>0</v>
      </c>
      <c r="AD29" s="77"/>
      <c r="AE29" s="77">
        <f>AE27+AE28</f>
        <v>1500.0</v>
      </c>
      <c r="AF29" s="78">
        <f>AF27+AF28</f>
        <v>-1500.0</v>
      </c>
      <c r="AG29" s="82">
        <v>0</v>
      </c>
      <c r="AH29" s="77"/>
      <c r="AI29" s="77">
        <f>AI27+AI28</f>
        <v>1500.0</v>
      </c>
      <c r="AJ29" s="78">
        <f>AJ27+AJ28</f>
        <v>-1500.0</v>
      </c>
      <c r="AK29" s="82">
        <v>0</v>
      </c>
      <c r="AL29" s="77"/>
      <c r="AM29" s="77">
        <f>AM27+AM28</f>
        <v>1500.0</v>
      </c>
      <c r="AN29" s="78">
        <f>AN27+AN28</f>
        <v>-1500.0</v>
      </c>
      <c r="AO29" s="82">
        <v>0</v>
      </c>
      <c r="AP29" s="77"/>
      <c r="AQ29" s="77">
        <f>AQ27+AQ28</f>
        <v>1500.0</v>
      </c>
      <c r="AR29" s="78">
        <f>AR27+AR28</f>
        <v>-1500.0</v>
      </c>
      <c r="AS29" s="82">
        <v>0</v>
      </c>
      <c r="AT29" s="77"/>
      <c r="AU29" s="77">
        <f>AU27+AU28</f>
        <v>1500.0</v>
      </c>
      <c r="AV29" s="78">
        <f>AV27+AV28</f>
        <v>-1500.0</v>
      </c>
      <c r="AW29" s="82">
        <v>0</v>
      </c>
      <c r="AX29" s="85">
        <f>B29+F29+J29+N29+R29+V29+Z29+AD29+AH29+AL29+AP29+AT29</f>
        <v>1497.45</v>
      </c>
      <c r="AY29" s="85">
        <f>C29+G29+K29+O29+S29+W29+AA29+AE29+AI29+AM29+AQ29+AU29</f>
        <v>18000.0</v>
      </c>
      <c r="AZ29" s="86">
        <f>D29+H29+L29+P29+T29+X29+AB29+AF29+AJ29+AN29+AR29+AV29</f>
        <v>-16502.55</v>
      </c>
      <c r="BA29" s="82">
        <v>0.0832</v>
      </c>
    </row>
    <row r="30" spans="1:53" ht="16" outlineLevel="1">
      <c r="A30" s="62" t="s">
        <v>27</v>
      </c>
      <c r="B30" s="75"/>
      <c r="C30" s="75"/>
      <c r="D30" s="75"/>
      <c r="E30" s="75" t="s">
        <v>3</v>
      </c>
      <c r="F30" s="75"/>
      <c r="G30" s="75"/>
      <c r="H30" s="75"/>
      <c r="I30" s="75" t="s">
        <v>3</v>
      </c>
      <c r="J30" s="75"/>
      <c r="K30" s="75"/>
      <c r="L30" s="75"/>
      <c r="M30" s="75" t="s">
        <v>3</v>
      </c>
      <c r="N30" s="75"/>
      <c r="O30" s="75"/>
      <c r="P30" s="75"/>
      <c r="Q30" s="75" t="s">
        <v>3</v>
      </c>
      <c r="R30" s="75"/>
      <c r="S30" s="75"/>
      <c r="T30" s="75"/>
      <c r="U30" s="75" t="s">
        <v>3</v>
      </c>
      <c r="V30" s="75"/>
      <c r="W30" s="75"/>
      <c r="X30" s="75"/>
      <c r="Y30" s="75" t="s">
        <v>3</v>
      </c>
      <c r="Z30" s="75"/>
      <c r="AA30" s="75"/>
      <c r="AB30" s="75"/>
      <c r="AC30" s="75" t="s">
        <v>3</v>
      </c>
      <c r="AD30" s="75"/>
      <c r="AE30" s="75"/>
      <c r="AF30" s="75"/>
      <c r="AG30" s="75" t="s">
        <v>3</v>
      </c>
      <c r="AH30" s="75"/>
      <c r="AI30" s="75"/>
      <c r="AJ30" s="75"/>
      <c r="AK30" s="75" t="s">
        <v>3</v>
      </c>
      <c r="AL30" s="75"/>
      <c r="AM30" s="75"/>
      <c r="AN30" s="75"/>
      <c r="AO30" s="75" t="s">
        <v>3</v>
      </c>
      <c r="AP30" s="75"/>
      <c r="AQ30" s="75"/>
      <c r="AR30" s="75"/>
      <c r="AS30" s="75" t="s">
        <v>3</v>
      </c>
      <c r="AT30" s="75"/>
      <c r="AU30" s="75"/>
      <c r="AV30" s="75"/>
      <c r="AW30" s="75" t="s">
        <v>3</v>
      </c>
      <c r="AX30" s="75"/>
      <c r="AY30" s="75"/>
      <c r="AZ30" s="75"/>
      <c r="BA30" s="75" t="s">
        <v>3</v>
      </c>
    </row>
    <row r="31" spans="1:53" ht="16" outlineLevel="2">
      <c r="A31" s="63" t="s">
        <v>28</v>
      </c>
      <c r="B31" s="76">
        <v>4512.0</v>
      </c>
      <c r="C31" s="75"/>
      <c r="D31" s="76">
        <v>4512.0</v>
      </c>
      <c r="E31" s="75" t="s">
        <v>3</v>
      </c>
      <c r="F31" s="75"/>
      <c r="G31" s="75"/>
      <c r="H31" s="75"/>
      <c r="I31" s="75" t="s">
        <v>3</v>
      </c>
      <c r="J31" s="75"/>
      <c r="K31" s="75"/>
      <c r="L31" s="75"/>
      <c r="M31" s="75" t="s">
        <v>3</v>
      </c>
      <c r="N31" s="75"/>
      <c r="O31" s="75"/>
      <c r="P31" s="75"/>
      <c r="Q31" s="75" t="s">
        <v>3</v>
      </c>
      <c r="R31" s="75"/>
      <c r="S31" s="75"/>
      <c r="T31" s="75"/>
      <c r="U31" s="75" t="s">
        <v>3</v>
      </c>
      <c r="V31" s="75"/>
      <c r="W31" s="75"/>
      <c r="X31" s="75"/>
      <c r="Y31" s="75" t="s">
        <v>3</v>
      </c>
      <c r="Z31" s="75"/>
      <c r="AA31" s="75"/>
      <c r="AB31" s="75"/>
      <c r="AC31" s="75" t="s">
        <v>3</v>
      </c>
      <c r="AD31" s="75"/>
      <c r="AE31" s="75"/>
      <c r="AF31" s="75"/>
      <c r="AG31" s="75" t="s">
        <v>3</v>
      </c>
      <c r="AH31" s="75"/>
      <c r="AI31" s="75"/>
      <c r="AJ31" s="75"/>
      <c r="AK31" s="75" t="s">
        <v>3</v>
      </c>
      <c r="AL31" s="75"/>
      <c r="AM31" s="75"/>
      <c r="AN31" s="75"/>
      <c r="AO31" s="75" t="s">
        <v>3</v>
      </c>
      <c r="AP31" s="75"/>
      <c r="AQ31" s="75"/>
      <c r="AR31" s="75"/>
      <c r="AS31" s="75" t="s">
        <v>3</v>
      </c>
      <c r="AT31" s="75"/>
      <c r="AU31" s="75"/>
      <c r="AV31" s="75"/>
      <c r="AW31" s="75" t="s">
        <v>3</v>
      </c>
      <c r="AX31" s="76">
        <f>B31+F31+J31+N31+R31+V31+Z31+AD31+AH31+AL31+AP31+AT31</f>
        <v>4512.0</v>
      </c>
      <c r="AY31" s="75"/>
      <c r="AZ31" s="76">
        <f>D31+H31+L31+P31+T31+X31+AB31+AF31+AJ31+AN31+AR31+AV31</f>
        <v>4512.0</v>
      </c>
      <c r="BA31" s="75" t="s">
        <v>3</v>
      </c>
    </row>
    <row r="32" spans="1:53" ht="16" outlineLevel="1">
      <c r="A32" s="64" t="s">
        <v>29</v>
      </c>
      <c r="B32" s="77">
        <f>B30+B31</f>
        <v>4512.0</v>
      </c>
      <c r="C32" s="77"/>
      <c r="D32" s="77">
        <f>D30+D31</f>
        <v>4512.0</v>
      </c>
      <c r="E32" s="83" t="s">
        <v>3</v>
      </c>
      <c r="F32" s="77"/>
      <c r="G32" s="77"/>
      <c r="H32" s="77"/>
      <c r="I32" s="83" t="s">
        <v>3</v>
      </c>
      <c r="J32" s="77"/>
      <c r="K32" s="77"/>
      <c r="L32" s="77"/>
      <c r="M32" s="83" t="s">
        <v>3</v>
      </c>
      <c r="N32" s="77"/>
      <c r="O32" s="77"/>
      <c r="P32" s="77"/>
      <c r="Q32" s="83" t="s">
        <v>3</v>
      </c>
      <c r="R32" s="77"/>
      <c r="S32" s="77"/>
      <c r="T32" s="77"/>
      <c r="U32" s="83" t="s">
        <v>3</v>
      </c>
      <c r="V32" s="77"/>
      <c r="W32" s="77"/>
      <c r="X32" s="77"/>
      <c r="Y32" s="83" t="s">
        <v>3</v>
      </c>
      <c r="Z32" s="77"/>
      <c r="AA32" s="77"/>
      <c r="AB32" s="77"/>
      <c r="AC32" s="83" t="s">
        <v>3</v>
      </c>
      <c r="AD32" s="77"/>
      <c r="AE32" s="77"/>
      <c r="AF32" s="77"/>
      <c r="AG32" s="83" t="s">
        <v>3</v>
      </c>
      <c r="AH32" s="77"/>
      <c r="AI32" s="77"/>
      <c r="AJ32" s="77"/>
      <c r="AK32" s="83" t="s">
        <v>3</v>
      </c>
      <c r="AL32" s="77"/>
      <c r="AM32" s="77"/>
      <c r="AN32" s="77"/>
      <c r="AO32" s="83" t="s">
        <v>3</v>
      </c>
      <c r="AP32" s="77"/>
      <c r="AQ32" s="77"/>
      <c r="AR32" s="77"/>
      <c r="AS32" s="83" t="s">
        <v>3</v>
      </c>
      <c r="AT32" s="77"/>
      <c r="AU32" s="77"/>
      <c r="AV32" s="77"/>
      <c r="AW32" s="83" t="s">
        <v>3</v>
      </c>
      <c r="AX32" s="85">
        <f>B32+F32+J32+N32+R32+V32+Z32+AD32+AH32+AL32+AP32+AT32</f>
        <v>4512.0</v>
      </c>
      <c r="AY32" s="77"/>
      <c r="AZ32" s="85">
        <f>D32+H32+L32+P32+T32+X32+AB32+AF32+AJ32+AN32+AR32+AV32</f>
        <v>4512.0</v>
      </c>
      <c r="BA32" s="83" t="s">
        <v>3</v>
      </c>
    </row>
    <row r="33" spans="1:53" ht="16" outlineLevel="1">
      <c r="A33" s="62" t="s">
        <v>30</v>
      </c>
      <c r="B33" s="75"/>
      <c r="C33" s="75"/>
      <c r="D33" s="75"/>
      <c r="E33" s="75" t="s">
        <v>3</v>
      </c>
      <c r="F33" s="75"/>
      <c r="G33" s="75"/>
      <c r="H33" s="75"/>
      <c r="I33" s="75" t="s">
        <v>3</v>
      </c>
      <c r="J33" s="75"/>
      <c r="K33" s="75"/>
      <c r="L33" s="75"/>
      <c r="M33" s="75" t="s">
        <v>3</v>
      </c>
      <c r="N33" s="75"/>
      <c r="O33" s="75"/>
      <c r="P33" s="75"/>
      <c r="Q33" s="75" t="s">
        <v>3</v>
      </c>
      <c r="R33" s="75"/>
      <c r="S33" s="75"/>
      <c r="T33" s="75"/>
      <c r="U33" s="75" t="s">
        <v>3</v>
      </c>
      <c r="V33" s="75"/>
      <c r="W33" s="75"/>
      <c r="X33" s="75"/>
      <c r="Y33" s="75" t="s">
        <v>3</v>
      </c>
      <c r="Z33" s="75"/>
      <c r="AA33" s="75"/>
      <c r="AB33" s="75"/>
      <c r="AC33" s="75" t="s">
        <v>3</v>
      </c>
      <c r="AD33" s="75"/>
      <c r="AE33" s="75"/>
      <c r="AF33" s="75"/>
      <c r="AG33" s="75" t="s">
        <v>3</v>
      </c>
      <c r="AH33" s="75"/>
      <c r="AI33" s="75"/>
      <c r="AJ33" s="75"/>
      <c r="AK33" s="75" t="s">
        <v>3</v>
      </c>
      <c r="AL33" s="75"/>
      <c r="AM33" s="75"/>
      <c r="AN33" s="75"/>
      <c r="AO33" s="75" t="s">
        <v>3</v>
      </c>
      <c r="AP33" s="75"/>
      <c r="AQ33" s="75"/>
      <c r="AR33" s="75"/>
      <c r="AS33" s="75" t="s">
        <v>3</v>
      </c>
      <c r="AT33" s="75"/>
      <c r="AU33" s="75"/>
      <c r="AV33" s="75"/>
      <c r="AW33" s="75" t="s">
        <v>3</v>
      </c>
      <c r="AX33" s="75"/>
      <c r="AY33" s="75"/>
      <c r="AZ33" s="75"/>
      <c r="BA33" s="75" t="s">
        <v>3</v>
      </c>
    </row>
    <row r="34" spans="1:53" ht="16" outlineLevel="2">
      <c r="A34" s="63" t="s">
        <v>31</v>
      </c>
      <c r="B34" s="75"/>
      <c r="C34" s="75"/>
      <c r="D34" s="75"/>
      <c r="E34" s="75" t="s">
        <v>3</v>
      </c>
      <c r="F34" s="75"/>
      <c r="G34" s="75"/>
      <c r="H34" s="75"/>
      <c r="I34" s="75" t="s">
        <v>3</v>
      </c>
      <c r="J34" s="75"/>
      <c r="K34" s="75"/>
      <c r="L34" s="75"/>
      <c r="M34" s="75" t="s">
        <v>3</v>
      </c>
      <c r="N34" s="75"/>
      <c r="O34" s="75"/>
      <c r="P34" s="75"/>
      <c r="Q34" s="75" t="s">
        <v>3</v>
      </c>
      <c r="R34" s="75"/>
      <c r="S34" s="75"/>
      <c r="T34" s="75"/>
      <c r="U34" s="75" t="s">
        <v>3</v>
      </c>
      <c r="V34" s="75"/>
      <c r="W34" s="75"/>
      <c r="X34" s="75"/>
      <c r="Y34" s="75" t="s">
        <v>3</v>
      </c>
      <c r="Z34" s="75"/>
      <c r="AA34" s="75"/>
      <c r="AB34" s="75"/>
      <c r="AC34" s="75" t="s">
        <v>3</v>
      </c>
      <c r="AD34" s="75"/>
      <c r="AE34" s="75"/>
      <c r="AF34" s="75"/>
      <c r="AG34" s="75" t="s">
        <v>3</v>
      </c>
      <c r="AH34" s="75"/>
      <c r="AI34" s="75"/>
      <c r="AJ34" s="75"/>
      <c r="AK34" s="75" t="s">
        <v>3</v>
      </c>
      <c r="AL34" s="75"/>
      <c r="AM34" s="75"/>
      <c r="AN34" s="75"/>
      <c r="AO34" s="75" t="s">
        <v>3</v>
      </c>
      <c r="AP34" s="75"/>
      <c r="AQ34" s="75"/>
      <c r="AR34" s="75"/>
      <c r="AS34" s="75" t="s">
        <v>3</v>
      </c>
      <c r="AT34" s="75"/>
      <c r="AU34" s="75"/>
      <c r="AV34" s="75"/>
      <c r="AW34" s="75" t="s">
        <v>3</v>
      </c>
      <c r="AX34" s="75"/>
      <c r="AY34" s="75"/>
      <c r="AZ34" s="75"/>
      <c r="BA34" s="75" t="s">
        <v>3</v>
      </c>
    </row>
    <row r="35" spans="1:53" ht="16" outlineLevel="3">
      <c r="A35" s="66" t="s">
        <v>32</v>
      </c>
      <c r="B35" s="76">
        <v>700.0</v>
      </c>
      <c r="C35" s="76">
        <v>125.0</v>
      </c>
      <c r="D35" s="76">
        <v>575.0</v>
      </c>
      <c r="E35" s="81">
        <v>5.6</v>
      </c>
      <c r="F35" s="75"/>
      <c r="G35" s="76">
        <v>125.0</v>
      </c>
      <c r="H35" s="80">
        <v>-125.0</v>
      </c>
      <c r="I35" s="81">
        <v>0</v>
      </c>
      <c r="J35" s="75"/>
      <c r="K35" s="76">
        <v>125.0</v>
      </c>
      <c r="L35" s="80">
        <v>-125.0</v>
      </c>
      <c r="M35" s="81">
        <v>0</v>
      </c>
      <c r="N35" s="75"/>
      <c r="O35" s="76">
        <v>125.0</v>
      </c>
      <c r="P35" s="80">
        <v>-125.0</v>
      </c>
      <c r="Q35" s="81">
        <v>0</v>
      </c>
      <c r="R35" s="75"/>
      <c r="S35" s="76">
        <v>125.0</v>
      </c>
      <c r="T35" s="80">
        <v>-125.0</v>
      </c>
      <c r="U35" s="81">
        <v>0</v>
      </c>
      <c r="V35" s="75"/>
      <c r="W35" s="76">
        <v>125.0</v>
      </c>
      <c r="X35" s="80">
        <v>-125.0</v>
      </c>
      <c r="Y35" s="81">
        <v>0</v>
      </c>
      <c r="Z35" s="75"/>
      <c r="AA35" s="76">
        <v>125.0</v>
      </c>
      <c r="AB35" s="80">
        <v>-125.0</v>
      </c>
      <c r="AC35" s="81">
        <v>0</v>
      </c>
      <c r="AD35" s="75"/>
      <c r="AE35" s="76">
        <v>125.0</v>
      </c>
      <c r="AF35" s="80">
        <v>-125.0</v>
      </c>
      <c r="AG35" s="81">
        <v>0</v>
      </c>
      <c r="AH35" s="75"/>
      <c r="AI35" s="76">
        <v>125.0</v>
      </c>
      <c r="AJ35" s="80">
        <v>-125.0</v>
      </c>
      <c r="AK35" s="81">
        <v>0</v>
      </c>
      <c r="AL35" s="75"/>
      <c r="AM35" s="76">
        <v>125.0</v>
      </c>
      <c r="AN35" s="80">
        <v>-125.0</v>
      </c>
      <c r="AO35" s="81">
        <v>0</v>
      </c>
      <c r="AP35" s="75"/>
      <c r="AQ35" s="76">
        <v>125.0</v>
      </c>
      <c r="AR35" s="80">
        <v>-125.0</v>
      </c>
      <c r="AS35" s="81">
        <v>0</v>
      </c>
      <c r="AT35" s="75"/>
      <c r="AU35" s="76">
        <v>125.0</v>
      </c>
      <c r="AV35" s="80">
        <v>-125.0</v>
      </c>
      <c r="AW35" s="81">
        <v>0</v>
      </c>
      <c r="AX35" s="76">
        <f>B35+F35+J35+N35+R35+V35+Z35+AD35+AH35+AL35+AP35+AT35</f>
        <v>700.0</v>
      </c>
      <c r="AY35" s="76">
        <f>C35+G35+K35+O35+S35+W35+AA35+AE35+AI35+AM35+AQ35+AU35</f>
        <v>1500.0</v>
      </c>
      <c r="AZ35" s="80">
        <f>D35+H35+L35+P35+T35+X35+AB35+AF35+AJ35+AN35+AR35+AV35</f>
        <v>-800.0</v>
      </c>
      <c r="BA35" s="90">
        <v>0.4667</v>
      </c>
    </row>
    <row r="36" spans="1:53" ht="16" outlineLevel="2">
      <c r="A36" s="67" t="s">
        <v>33</v>
      </c>
      <c r="B36" s="77">
        <f>B34+B35</f>
        <v>700.0</v>
      </c>
      <c r="C36" s="77">
        <f>C34+C35</f>
        <v>125.0</v>
      </c>
      <c r="D36" s="77">
        <f>D34+D35</f>
        <v>575.0</v>
      </c>
      <c r="E36" s="82">
        <v>5.6</v>
      </c>
      <c r="F36" s="77"/>
      <c r="G36" s="77">
        <f>G34+G35</f>
        <v>125.0</v>
      </c>
      <c r="H36" s="78">
        <f>H34+H35</f>
        <v>-125.0</v>
      </c>
      <c r="I36" s="82">
        <v>0</v>
      </c>
      <c r="J36" s="77"/>
      <c r="K36" s="77">
        <f>K34+K35</f>
        <v>125.0</v>
      </c>
      <c r="L36" s="78">
        <f>L34+L35</f>
        <v>-125.0</v>
      </c>
      <c r="M36" s="82">
        <v>0</v>
      </c>
      <c r="N36" s="77"/>
      <c r="O36" s="77">
        <f>O34+O35</f>
        <v>125.0</v>
      </c>
      <c r="P36" s="78">
        <f>P34+P35</f>
        <v>-125.0</v>
      </c>
      <c r="Q36" s="82">
        <v>0</v>
      </c>
      <c r="R36" s="77"/>
      <c r="S36" s="77">
        <f>S34+S35</f>
        <v>125.0</v>
      </c>
      <c r="T36" s="78">
        <f>T34+T35</f>
        <v>-125.0</v>
      </c>
      <c r="U36" s="82">
        <v>0</v>
      </c>
      <c r="V36" s="77"/>
      <c r="W36" s="77">
        <f>W34+W35</f>
        <v>125.0</v>
      </c>
      <c r="X36" s="78">
        <f>X34+X35</f>
        <v>-125.0</v>
      </c>
      <c r="Y36" s="82">
        <v>0</v>
      </c>
      <c r="Z36" s="77"/>
      <c r="AA36" s="77">
        <f>AA34+AA35</f>
        <v>125.0</v>
      </c>
      <c r="AB36" s="78">
        <f>AB34+AB35</f>
        <v>-125.0</v>
      </c>
      <c r="AC36" s="82">
        <v>0</v>
      </c>
      <c r="AD36" s="77"/>
      <c r="AE36" s="77">
        <f>AE34+AE35</f>
        <v>125.0</v>
      </c>
      <c r="AF36" s="78">
        <f>AF34+AF35</f>
        <v>-125.0</v>
      </c>
      <c r="AG36" s="82">
        <v>0</v>
      </c>
      <c r="AH36" s="77"/>
      <c r="AI36" s="77">
        <f>AI34+AI35</f>
        <v>125.0</v>
      </c>
      <c r="AJ36" s="78">
        <f>AJ34+AJ35</f>
        <v>-125.0</v>
      </c>
      <c r="AK36" s="82">
        <v>0</v>
      </c>
      <c r="AL36" s="77"/>
      <c r="AM36" s="77">
        <f>AM34+AM35</f>
        <v>125.0</v>
      </c>
      <c r="AN36" s="78">
        <f>AN34+AN35</f>
        <v>-125.0</v>
      </c>
      <c r="AO36" s="82">
        <v>0</v>
      </c>
      <c r="AP36" s="77"/>
      <c r="AQ36" s="77">
        <f>AQ34+AQ35</f>
        <v>125.0</v>
      </c>
      <c r="AR36" s="78">
        <f>AR34+AR35</f>
        <v>-125.0</v>
      </c>
      <c r="AS36" s="82">
        <v>0</v>
      </c>
      <c r="AT36" s="77"/>
      <c r="AU36" s="77">
        <f>AU34+AU35</f>
        <v>125.0</v>
      </c>
      <c r="AV36" s="78">
        <f>AV34+AV35</f>
        <v>-125.0</v>
      </c>
      <c r="AW36" s="82">
        <v>0</v>
      </c>
      <c r="AX36" s="85">
        <f>B36+F36+J36+N36+R36+V36+Z36+AD36+AH36+AL36+AP36+AT36</f>
        <v>700.0</v>
      </c>
      <c r="AY36" s="85">
        <f>C36+G36+K36+O36+S36+W36+AA36+AE36+AI36+AM36+AQ36+AU36</f>
        <v>1500.0</v>
      </c>
      <c r="AZ36" s="86">
        <f>D36+H36+L36+P36+T36+X36+AB36+AF36+AJ36+AN36+AR36+AV36</f>
        <v>-800.0</v>
      </c>
      <c r="BA36" s="88">
        <v>0.4667</v>
      </c>
    </row>
    <row r="37" spans="1:53" ht="16" outlineLevel="1">
      <c r="A37" s="64" t="s">
        <v>34</v>
      </c>
      <c r="B37" s="77">
        <f>B33+B36</f>
        <v>700.0</v>
      </c>
      <c r="C37" s="77">
        <f>C33+C36</f>
        <v>125.0</v>
      </c>
      <c r="D37" s="77">
        <f>D33+D36</f>
        <v>575.0</v>
      </c>
      <c r="E37" s="82">
        <v>5.6</v>
      </c>
      <c r="F37" s="77"/>
      <c r="G37" s="77">
        <f>G33+G36</f>
        <v>125.0</v>
      </c>
      <c r="H37" s="78">
        <f>H33+H36</f>
        <v>-125.0</v>
      </c>
      <c r="I37" s="82">
        <v>0</v>
      </c>
      <c r="J37" s="77"/>
      <c r="K37" s="77">
        <f>K33+K36</f>
        <v>125.0</v>
      </c>
      <c r="L37" s="78">
        <f>L33+L36</f>
        <v>-125.0</v>
      </c>
      <c r="M37" s="82">
        <v>0</v>
      </c>
      <c r="N37" s="77"/>
      <c r="O37" s="77">
        <f>O33+O36</f>
        <v>125.0</v>
      </c>
      <c r="P37" s="78">
        <f>P33+P36</f>
        <v>-125.0</v>
      </c>
      <c r="Q37" s="82">
        <v>0</v>
      </c>
      <c r="R37" s="77"/>
      <c r="S37" s="77">
        <f>S33+S36</f>
        <v>125.0</v>
      </c>
      <c r="T37" s="78">
        <f>T33+T36</f>
        <v>-125.0</v>
      </c>
      <c r="U37" s="82">
        <v>0</v>
      </c>
      <c r="V37" s="77"/>
      <c r="W37" s="77">
        <f>W33+W36</f>
        <v>125.0</v>
      </c>
      <c r="X37" s="78">
        <f>X33+X36</f>
        <v>-125.0</v>
      </c>
      <c r="Y37" s="82">
        <v>0</v>
      </c>
      <c r="Z37" s="77"/>
      <c r="AA37" s="77">
        <f>AA33+AA36</f>
        <v>125.0</v>
      </c>
      <c r="AB37" s="78">
        <f>AB33+AB36</f>
        <v>-125.0</v>
      </c>
      <c r="AC37" s="82">
        <v>0</v>
      </c>
      <c r="AD37" s="77"/>
      <c r="AE37" s="77">
        <f>AE33+AE36</f>
        <v>125.0</v>
      </c>
      <c r="AF37" s="78">
        <f>AF33+AF36</f>
        <v>-125.0</v>
      </c>
      <c r="AG37" s="82">
        <v>0</v>
      </c>
      <c r="AH37" s="77"/>
      <c r="AI37" s="77">
        <f>AI33+AI36</f>
        <v>125.0</v>
      </c>
      <c r="AJ37" s="78">
        <f>AJ33+AJ36</f>
        <v>-125.0</v>
      </c>
      <c r="AK37" s="82">
        <v>0</v>
      </c>
      <c r="AL37" s="77"/>
      <c r="AM37" s="77">
        <f>AM33+AM36</f>
        <v>125.0</v>
      </c>
      <c r="AN37" s="78">
        <f>AN33+AN36</f>
        <v>-125.0</v>
      </c>
      <c r="AO37" s="82">
        <v>0</v>
      </c>
      <c r="AP37" s="77"/>
      <c r="AQ37" s="77">
        <f>AQ33+AQ36</f>
        <v>125.0</v>
      </c>
      <c r="AR37" s="78">
        <f>AR33+AR36</f>
        <v>-125.0</v>
      </c>
      <c r="AS37" s="82">
        <v>0</v>
      </c>
      <c r="AT37" s="77"/>
      <c r="AU37" s="77">
        <f>AU33+AU36</f>
        <v>125.0</v>
      </c>
      <c r="AV37" s="78">
        <f>AV33+AV36</f>
        <v>-125.0</v>
      </c>
      <c r="AW37" s="82">
        <v>0</v>
      </c>
      <c r="AX37" s="85">
        <f>B37+F37+J37+N37+R37+V37+Z37+AD37+AH37+AL37+AP37+AT37</f>
        <v>700.0</v>
      </c>
      <c r="AY37" s="85">
        <f>C37+G37+K37+O37+S37+W37+AA37+AE37+AI37+AM37+AQ37+AU37</f>
        <v>1500.0</v>
      </c>
      <c r="AZ37" s="86">
        <f>D37+H37+L37+P37+T37+X37+AB37+AF37+AJ37+AN37+AR37+AV37</f>
        <v>-800.0</v>
      </c>
      <c r="BA37" s="82">
        <v>0.4667</v>
      </c>
    </row>
    <row r="38" spans="1:53" ht="16" outlineLevel="1">
      <c r="A38" s="62" t="s">
        <v>35</v>
      </c>
      <c r="B38" s="75"/>
      <c r="C38" s="75"/>
      <c r="D38" s="75"/>
      <c r="E38" s="75" t="s">
        <v>3</v>
      </c>
      <c r="F38" s="75"/>
      <c r="G38" s="75"/>
      <c r="H38" s="75"/>
      <c r="I38" s="75" t="s">
        <v>3</v>
      </c>
      <c r="J38" s="75"/>
      <c r="K38" s="75"/>
      <c r="L38" s="75"/>
      <c r="M38" s="75" t="s">
        <v>3</v>
      </c>
      <c r="N38" s="75"/>
      <c r="O38" s="75"/>
      <c r="P38" s="75"/>
      <c r="Q38" s="75" t="s">
        <v>3</v>
      </c>
      <c r="R38" s="75"/>
      <c r="S38" s="75"/>
      <c r="T38" s="75"/>
      <c r="U38" s="75" t="s">
        <v>3</v>
      </c>
      <c r="V38" s="75"/>
      <c r="W38" s="75"/>
      <c r="X38" s="75"/>
      <c r="Y38" s="75" t="s">
        <v>3</v>
      </c>
      <c r="Z38" s="75"/>
      <c r="AA38" s="75"/>
      <c r="AB38" s="75"/>
      <c r="AC38" s="75" t="s">
        <v>3</v>
      </c>
      <c r="AD38" s="75"/>
      <c r="AE38" s="75"/>
      <c r="AF38" s="75"/>
      <c r="AG38" s="75" t="s">
        <v>3</v>
      </c>
      <c r="AH38" s="75"/>
      <c r="AI38" s="75"/>
      <c r="AJ38" s="75"/>
      <c r="AK38" s="75" t="s">
        <v>3</v>
      </c>
      <c r="AL38" s="75"/>
      <c r="AM38" s="75"/>
      <c r="AN38" s="75"/>
      <c r="AO38" s="75" t="s">
        <v>3</v>
      </c>
      <c r="AP38" s="75"/>
      <c r="AQ38" s="75"/>
      <c r="AR38" s="75"/>
      <c r="AS38" s="75" t="s">
        <v>3</v>
      </c>
      <c r="AT38" s="75"/>
      <c r="AU38" s="75"/>
      <c r="AV38" s="75"/>
      <c r="AW38" s="75" t="s">
        <v>3</v>
      </c>
      <c r="AX38" s="75"/>
      <c r="AY38" s="75"/>
      <c r="AZ38" s="75"/>
      <c r="BA38" s="75" t="s">
        <v>3</v>
      </c>
    </row>
    <row r="39" spans="1:53" ht="16" outlineLevel="2">
      <c r="A39" s="63" t="s">
        <v>36</v>
      </c>
      <c r="B39" s="76">
        <v>3750.02</v>
      </c>
      <c r="C39" s="76">
        <v>3333.33</v>
      </c>
      <c r="D39" s="76">
        <v>416.69000000000005</v>
      </c>
      <c r="E39" s="81">
        <v>1.125</v>
      </c>
      <c r="F39" s="76">
        <v>3000.01</v>
      </c>
      <c r="G39" s="76">
        <v>3333.33</v>
      </c>
      <c r="H39" s="80">
        <v>-333.3199999999997</v>
      </c>
      <c r="I39" s="81">
        <v>0.9</v>
      </c>
      <c r="J39" s="75"/>
      <c r="K39" s="76">
        <v>3333.33</v>
      </c>
      <c r="L39" s="80">
        <v>-3333.33</v>
      </c>
      <c r="M39" s="81">
        <v>0</v>
      </c>
      <c r="N39" s="75"/>
      <c r="O39" s="76">
        <v>3333.33</v>
      </c>
      <c r="P39" s="80">
        <v>-3333.33</v>
      </c>
      <c r="Q39" s="81">
        <v>0</v>
      </c>
      <c r="R39" s="75"/>
      <c r="S39" s="76">
        <v>3333.33</v>
      </c>
      <c r="T39" s="80">
        <v>-3333.33</v>
      </c>
      <c r="U39" s="81">
        <v>0</v>
      </c>
      <c r="V39" s="75"/>
      <c r="W39" s="76">
        <v>3333.33</v>
      </c>
      <c r="X39" s="80">
        <v>-3333.33</v>
      </c>
      <c r="Y39" s="81">
        <v>0</v>
      </c>
      <c r="Z39" s="75"/>
      <c r="AA39" s="76">
        <v>3333.33</v>
      </c>
      <c r="AB39" s="80">
        <v>-3333.33</v>
      </c>
      <c r="AC39" s="81">
        <v>0</v>
      </c>
      <c r="AD39" s="75"/>
      <c r="AE39" s="76">
        <v>3333.33</v>
      </c>
      <c r="AF39" s="80">
        <v>-3333.33</v>
      </c>
      <c r="AG39" s="81">
        <v>0</v>
      </c>
      <c r="AH39" s="75"/>
      <c r="AI39" s="76">
        <v>3333.33</v>
      </c>
      <c r="AJ39" s="80">
        <v>-3333.33</v>
      </c>
      <c r="AK39" s="81">
        <v>0</v>
      </c>
      <c r="AL39" s="75"/>
      <c r="AM39" s="76">
        <v>3333.33</v>
      </c>
      <c r="AN39" s="80">
        <v>-3333.33</v>
      </c>
      <c r="AO39" s="81">
        <v>0</v>
      </c>
      <c r="AP39" s="75"/>
      <c r="AQ39" s="76">
        <v>3333.33</v>
      </c>
      <c r="AR39" s="80">
        <v>-3333.33</v>
      </c>
      <c r="AS39" s="81">
        <v>0</v>
      </c>
      <c r="AT39" s="75"/>
      <c r="AU39" s="76">
        <v>3333.37</v>
      </c>
      <c r="AV39" s="80">
        <v>-3333.37</v>
      </c>
      <c r="AW39" s="81">
        <v>0</v>
      </c>
      <c r="AX39" s="76">
        <f>B39+F39+J39+N39+R39+V39+Z39+AD39+AH39+AL39+AP39+AT39</f>
        <v>6750.030000000001</v>
      </c>
      <c r="AY39" s="76">
        <f>C39+G39+K39+O39+S39+W39+AA39+AE39+AI39+AM39+AQ39+AU39</f>
        <v>40000.000000000015</v>
      </c>
      <c r="AZ39" s="80">
        <f>D39+H39+L39+P39+T39+X39+AB39+AF39+AJ39+AN39+AR39+AV39</f>
        <v>-33249.97000000001</v>
      </c>
      <c r="BA39" s="81">
        <v>0.16879999999999998</v>
      </c>
    </row>
    <row r="40" spans="1:53" ht="16" outlineLevel="2">
      <c r="A40" s="63" t="s">
        <v>37</v>
      </c>
      <c r="B40" s="76">
        <v>4801.93</v>
      </c>
      <c r="C40" s="75"/>
      <c r="D40" s="76">
        <v>4801.93</v>
      </c>
      <c r="E40" s="75" t="s">
        <v>3</v>
      </c>
      <c r="F40" s="76">
        <v>6156.84</v>
      </c>
      <c r="G40" s="75"/>
      <c r="H40" s="76">
        <v>6156.84</v>
      </c>
      <c r="I40" s="75" t="s">
        <v>3</v>
      </c>
      <c r="J40" s="75"/>
      <c r="K40" s="75"/>
      <c r="L40" s="75"/>
      <c r="M40" s="75" t="s">
        <v>3</v>
      </c>
      <c r="N40" s="75"/>
      <c r="O40" s="75"/>
      <c r="P40" s="75"/>
      <c r="Q40" s="75" t="s">
        <v>3</v>
      </c>
      <c r="R40" s="75"/>
      <c r="S40" s="75"/>
      <c r="T40" s="75"/>
      <c r="U40" s="75" t="s">
        <v>3</v>
      </c>
      <c r="V40" s="75"/>
      <c r="W40" s="75"/>
      <c r="X40" s="75"/>
      <c r="Y40" s="75" t="s">
        <v>3</v>
      </c>
      <c r="Z40" s="75"/>
      <c r="AA40" s="75"/>
      <c r="AB40" s="75"/>
      <c r="AC40" s="75" t="s">
        <v>3</v>
      </c>
      <c r="AD40" s="75"/>
      <c r="AE40" s="75"/>
      <c r="AF40" s="75"/>
      <c r="AG40" s="75" t="s">
        <v>3</v>
      </c>
      <c r="AH40" s="75"/>
      <c r="AI40" s="75"/>
      <c r="AJ40" s="75"/>
      <c r="AK40" s="75" t="s">
        <v>3</v>
      </c>
      <c r="AL40" s="75"/>
      <c r="AM40" s="75"/>
      <c r="AN40" s="75"/>
      <c r="AO40" s="75" t="s">
        <v>3</v>
      </c>
      <c r="AP40" s="75"/>
      <c r="AQ40" s="75"/>
      <c r="AR40" s="75"/>
      <c r="AS40" s="75" t="s">
        <v>3</v>
      </c>
      <c r="AT40" s="75"/>
      <c r="AU40" s="75"/>
      <c r="AV40" s="75"/>
      <c r="AW40" s="75" t="s">
        <v>3</v>
      </c>
      <c r="AX40" s="76">
        <f>B40+F40+J40+N40+R40+V40+Z40+AD40+AH40+AL40+AP40+AT40</f>
        <v>10958.77</v>
      </c>
      <c r="AY40" s="75"/>
      <c r="AZ40" s="76">
        <f>D40+H40+L40+P40+T40+X40+AB40+AF40+AJ40+AN40+AR40+AV40</f>
        <v>10958.77</v>
      </c>
      <c r="BA40" s="75" t="s">
        <v>3</v>
      </c>
    </row>
    <row r="41" spans="1:53" ht="16" outlineLevel="2">
      <c r="A41" s="63" t="s">
        <v>38</v>
      </c>
      <c r="B41" s="76">
        <v>1470.0</v>
      </c>
      <c r="C41" s="76">
        <v>416.67</v>
      </c>
      <c r="D41" s="76">
        <v>1053.33</v>
      </c>
      <c r="E41" s="81">
        <v>3.528</v>
      </c>
      <c r="F41" s="76">
        <v>3003.0</v>
      </c>
      <c r="G41" s="76">
        <v>416.67</v>
      </c>
      <c r="H41" s="76">
        <v>2586.33</v>
      </c>
      <c r="I41" s="81">
        <v>7.2071000000000005</v>
      </c>
      <c r="J41" s="75"/>
      <c r="K41" s="76">
        <v>416.67</v>
      </c>
      <c r="L41" s="80">
        <v>-416.67</v>
      </c>
      <c r="M41" s="81">
        <v>0</v>
      </c>
      <c r="N41" s="75"/>
      <c r="O41" s="76">
        <v>416.67</v>
      </c>
      <c r="P41" s="80">
        <v>-416.67</v>
      </c>
      <c r="Q41" s="81">
        <v>0</v>
      </c>
      <c r="R41" s="75"/>
      <c r="S41" s="76">
        <v>416.67</v>
      </c>
      <c r="T41" s="80">
        <v>-416.67</v>
      </c>
      <c r="U41" s="81">
        <v>0</v>
      </c>
      <c r="V41" s="75"/>
      <c r="W41" s="76">
        <v>416.67</v>
      </c>
      <c r="X41" s="80">
        <v>-416.67</v>
      </c>
      <c r="Y41" s="81">
        <v>0</v>
      </c>
      <c r="Z41" s="75"/>
      <c r="AA41" s="76">
        <v>416.67</v>
      </c>
      <c r="AB41" s="80">
        <v>-416.67</v>
      </c>
      <c r="AC41" s="81">
        <v>0</v>
      </c>
      <c r="AD41" s="75"/>
      <c r="AE41" s="76">
        <v>416.67</v>
      </c>
      <c r="AF41" s="80">
        <v>-416.67</v>
      </c>
      <c r="AG41" s="81">
        <v>0</v>
      </c>
      <c r="AH41" s="75"/>
      <c r="AI41" s="76">
        <v>416.67</v>
      </c>
      <c r="AJ41" s="80">
        <v>-416.67</v>
      </c>
      <c r="AK41" s="81">
        <v>0</v>
      </c>
      <c r="AL41" s="75"/>
      <c r="AM41" s="76">
        <v>416.67</v>
      </c>
      <c r="AN41" s="80">
        <v>-416.67</v>
      </c>
      <c r="AO41" s="81">
        <v>0</v>
      </c>
      <c r="AP41" s="75"/>
      <c r="AQ41" s="76">
        <v>416.67</v>
      </c>
      <c r="AR41" s="80">
        <v>-416.67</v>
      </c>
      <c r="AS41" s="81">
        <v>0</v>
      </c>
      <c r="AT41" s="75"/>
      <c r="AU41" s="76">
        <v>416.63</v>
      </c>
      <c r="AV41" s="80">
        <v>-416.63</v>
      </c>
      <c r="AW41" s="81">
        <v>0</v>
      </c>
      <c r="AX41" s="76">
        <f>B41+F41+J41+N41+R41+V41+Z41+AD41+AH41+AL41+AP41+AT41</f>
        <v>4473.0</v>
      </c>
      <c r="AY41" s="76">
        <f>C41+G41+K41+O41+S41+W41+AA41+AE41+AI41+AM41+AQ41+AU41</f>
        <v>5000.0</v>
      </c>
      <c r="AZ41" s="80">
        <f>D41+H41+L41+P41+T41+X41+AB41+AF41+AJ41+AN41+AR41+AV41</f>
        <v>-527.0000000000007</v>
      </c>
      <c r="BA41" s="81">
        <v>0.8946</v>
      </c>
    </row>
    <row r="42" spans="1:53" ht="16" outlineLevel="2">
      <c r="A42" s="63" t="s">
        <v>39</v>
      </c>
      <c r="B42" s="76">
        <v>25486.19</v>
      </c>
      <c r="C42" s="76">
        <v>500.0</v>
      </c>
      <c r="D42" s="76">
        <v>24986.19</v>
      </c>
      <c r="E42" s="81">
        <v>50.9724</v>
      </c>
      <c r="F42" s="76">
        <v>26678.76</v>
      </c>
      <c r="G42" s="76">
        <v>500.0</v>
      </c>
      <c r="H42" s="76">
        <v>26178.76</v>
      </c>
      <c r="I42" s="81">
        <v>53.3575</v>
      </c>
      <c r="J42" s="75"/>
      <c r="K42" s="76">
        <v>500.0</v>
      </c>
      <c r="L42" s="80">
        <v>-500.0</v>
      </c>
      <c r="M42" s="81">
        <v>0</v>
      </c>
      <c r="N42" s="75"/>
      <c r="O42" s="76">
        <v>500.0</v>
      </c>
      <c r="P42" s="80">
        <v>-500.0</v>
      </c>
      <c r="Q42" s="81">
        <v>0</v>
      </c>
      <c r="R42" s="75"/>
      <c r="S42" s="76">
        <v>500.0</v>
      </c>
      <c r="T42" s="80">
        <v>-500.0</v>
      </c>
      <c r="U42" s="81">
        <v>0</v>
      </c>
      <c r="V42" s="75"/>
      <c r="W42" s="76">
        <v>500.0</v>
      </c>
      <c r="X42" s="80">
        <v>-500.0</v>
      </c>
      <c r="Y42" s="81">
        <v>0</v>
      </c>
      <c r="Z42" s="75"/>
      <c r="AA42" s="76">
        <v>500.0</v>
      </c>
      <c r="AB42" s="80">
        <v>-500.0</v>
      </c>
      <c r="AC42" s="81">
        <v>0</v>
      </c>
      <c r="AD42" s="75"/>
      <c r="AE42" s="76">
        <v>500.0</v>
      </c>
      <c r="AF42" s="80">
        <v>-500.0</v>
      </c>
      <c r="AG42" s="81">
        <v>0</v>
      </c>
      <c r="AH42" s="75"/>
      <c r="AI42" s="76">
        <v>500.0</v>
      </c>
      <c r="AJ42" s="80">
        <v>-500.0</v>
      </c>
      <c r="AK42" s="81">
        <v>0</v>
      </c>
      <c r="AL42" s="75"/>
      <c r="AM42" s="76">
        <v>500.0</v>
      </c>
      <c r="AN42" s="80">
        <v>-500.0</v>
      </c>
      <c r="AO42" s="81">
        <v>0</v>
      </c>
      <c r="AP42" s="75"/>
      <c r="AQ42" s="76">
        <v>500.0</v>
      </c>
      <c r="AR42" s="80">
        <v>-500.0</v>
      </c>
      <c r="AS42" s="81">
        <v>0</v>
      </c>
      <c r="AT42" s="75"/>
      <c r="AU42" s="76">
        <v>500.0</v>
      </c>
      <c r="AV42" s="80">
        <v>-500.0</v>
      </c>
      <c r="AW42" s="81">
        <v>0</v>
      </c>
      <c r="AX42" s="76">
        <f>B42+F42+J42+N42+R42+V42+Z42+AD42+AH42+AL42+AP42+AT42</f>
        <v>52164.95</v>
      </c>
      <c r="AY42" s="76">
        <f>C42+G42+K42+O42+S42+W42+AA42+AE42+AI42+AM42+AQ42+AU42</f>
        <v>6000.0</v>
      </c>
      <c r="AZ42" s="76">
        <f>D42+H42+L42+P42+T42+X42+AB42+AF42+AJ42+AN42+AR42+AV42</f>
        <v>46164.95</v>
      </c>
      <c r="BA42" s="81">
        <v>8.6942</v>
      </c>
    </row>
    <row r="43" spans="1:53" ht="16" outlineLevel="2">
      <c r="A43" s="63" t="s">
        <v>40</v>
      </c>
      <c r="B43" s="76">
        <v>424.82</v>
      </c>
      <c r="C43" s="75"/>
      <c r="D43" s="76">
        <v>424.82</v>
      </c>
      <c r="E43" s="75" t="s">
        <v>3</v>
      </c>
      <c r="F43" s="76">
        <v>627.16</v>
      </c>
      <c r="G43" s="75"/>
      <c r="H43" s="76">
        <v>627.16</v>
      </c>
      <c r="I43" s="75" t="s">
        <v>3</v>
      </c>
      <c r="J43" s="75"/>
      <c r="K43" s="75"/>
      <c r="L43" s="75"/>
      <c r="M43" s="75" t="s">
        <v>3</v>
      </c>
      <c r="N43" s="75"/>
      <c r="O43" s="75"/>
      <c r="P43" s="75"/>
      <c r="Q43" s="75" t="s">
        <v>3</v>
      </c>
      <c r="R43" s="75"/>
      <c r="S43" s="75"/>
      <c r="T43" s="75"/>
      <c r="U43" s="75" t="s">
        <v>3</v>
      </c>
      <c r="V43" s="75"/>
      <c r="W43" s="75"/>
      <c r="X43" s="75"/>
      <c r="Y43" s="75" t="s">
        <v>3</v>
      </c>
      <c r="Z43" s="75"/>
      <c r="AA43" s="75"/>
      <c r="AB43" s="75"/>
      <c r="AC43" s="75" t="s">
        <v>3</v>
      </c>
      <c r="AD43" s="75"/>
      <c r="AE43" s="75"/>
      <c r="AF43" s="75"/>
      <c r="AG43" s="75" t="s">
        <v>3</v>
      </c>
      <c r="AH43" s="75"/>
      <c r="AI43" s="75"/>
      <c r="AJ43" s="75"/>
      <c r="AK43" s="75" t="s">
        <v>3</v>
      </c>
      <c r="AL43" s="75"/>
      <c r="AM43" s="75"/>
      <c r="AN43" s="75"/>
      <c r="AO43" s="75" t="s">
        <v>3</v>
      </c>
      <c r="AP43" s="75"/>
      <c r="AQ43" s="75"/>
      <c r="AR43" s="75"/>
      <c r="AS43" s="75" t="s">
        <v>3</v>
      </c>
      <c r="AT43" s="75"/>
      <c r="AU43" s="75"/>
      <c r="AV43" s="75"/>
      <c r="AW43" s="75" t="s">
        <v>3</v>
      </c>
      <c r="AX43" s="76">
        <f>B43+F43+J43+N43+R43+V43+Z43+AD43+AH43+AL43+AP43+AT43</f>
        <v>1051.98</v>
      </c>
      <c r="AY43" s="75"/>
      <c r="AZ43" s="76">
        <f>D43+H43+L43+P43+T43+X43+AB43+AF43+AJ43+AN43+AR43+AV43</f>
        <v>1051.98</v>
      </c>
      <c r="BA43" s="75" t="s">
        <v>3</v>
      </c>
    </row>
    <row r="44" spans="1:53" ht="16" outlineLevel="2">
      <c r="A44" s="63" t="s">
        <v>41</v>
      </c>
      <c r="B44" s="76">
        <v>5258.89</v>
      </c>
      <c r="C44" s="75"/>
      <c r="D44" s="76">
        <v>5258.89</v>
      </c>
      <c r="E44" s="75" t="s">
        <v>3</v>
      </c>
      <c r="F44" s="76">
        <v>5536.65</v>
      </c>
      <c r="G44" s="75"/>
      <c r="H44" s="76">
        <v>5536.65</v>
      </c>
      <c r="I44" s="75" t="s">
        <v>3</v>
      </c>
      <c r="J44" s="75"/>
      <c r="K44" s="75"/>
      <c r="L44" s="75"/>
      <c r="M44" s="75" t="s">
        <v>3</v>
      </c>
      <c r="N44" s="75"/>
      <c r="O44" s="75"/>
      <c r="P44" s="75"/>
      <c r="Q44" s="75" t="s">
        <v>3</v>
      </c>
      <c r="R44" s="75"/>
      <c r="S44" s="75"/>
      <c r="T44" s="75"/>
      <c r="U44" s="75" t="s">
        <v>3</v>
      </c>
      <c r="V44" s="75"/>
      <c r="W44" s="75"/>
      <c r="X44" s="75"/>
      <c r="Y44" s="75" t="s">
        <v>3</v>
      </c>
      <c r="Z44" s="75"/>
      <c r="AA44" s="75"/>
      <c r="AB44" s="75"/>
      <c r="AC44" s="75" t="s">
        <v>3</v>
      </c>
      <c r="AD44" s="75"/>
      <c r="AE44" s="75"/>
      <c r="AF44" s="75"/>
      <c r="AG44" s="75" t="s">
        <v>3</v>
      </c>
      <c r="AH44" s="75"/>
      <c r="AI44" s="75"/>
      <c r="AJ44" s="75"/>
      <c r="AK44" s="75" t="s">
        <v>3</v>
      </c>
      <c r="AL44" s="75"/>
      <c r="AM44" s="75"/>
      <c r="AN44" s="75"/>
      <c r="AO44" s="75" t="s">
        <v>3</v>
      </c>
      <c r="AP44" s="75"/>
      <c r="AQ44" s="75"/>
      <c r="AR44" s="75"/>
      <c r="AS44" s="75" t="s">
        <v>3</v>
      </c>
      <c r="AT44" s="75"/>
      <c r="AU44" s="75"/>
      <c r="AV44" s="75"/>
      <c r="AW44" s="75" t="s">
        <v>3</v>
      </c>
      <c r="AX44" s="76">
        <f>B44+F44+J44+N44+R44+V44+Z44+AD44+AH44+AL44+AP44+AT44</f>
        <v>10795.54</v>
      </c>
      <c r="AY44" s="75"/>
      <c r="AZ44" s="76">
        <f>D44+H44+L44+P44+T44+X44+AB44+AF44+AJ44+AN44+AR44+AV44</f>
        <v>10795.54</v>
      </c>
      <c r="BA44" s="75" t="s">
        <v>3</v>
      </c>
    </row>
    <row r="45" spans="1:53" ht="16" outlineLevel="2">
      <c r="A45" s="63" t="s">
        <v>42</v>
      </c>
      <c r="B45" s="76">
        <v>450.0</v>
      </c>
      <c r="C45" s="75"/>
      <c r="D45" s="76">
        <v>450.0</v>
      </c>
      <c r="E45" s="75" t="s">
        <v>3</v>
      </c>
      <c r="F45" s="76">
        <v>600.0</v>
      </c>
      <c r="G45" s="75"/>
      <c r="H45" s="76">
        <v>600.0</v>
      </c>
      <c r="I45" s="75" t="s">
        <v>3</v>
      </c>
      <c r="J45" s="75"/>
      <c r="K45" s="75"/>
      <c r="L45" s="75"/>
      <c r="M45" s="75" t="s">
        <v>3</v>
      </c>
      <c r="N45" s="75"/>
      <c r="O45" s="75"/>
      <c r="P45" s="75"/>
      <c r="Q45" s="75" t="s">
        <v>3</v>
      </c>
      <c r="R45" s="75"/>
      <c r="S45" s="75"/>
      <c r="T45" s="75"/>
      <c r="U45" s="75" t="s">
        <v>3</v>
      </c>
      <c r="V45" s="75"/>
      <c r="W45" s="75"/>
      <c r="X45" s="75"/>
      <c r="Y45" s="75" t="s">
        <v>3</v>
      </c>
      <c r="Z45" s="75"/>
      <c r="AA45" s="75"/>
      <c r="AB45" s="75"/>
      <c r="AC45" s="75" t="s">
        <v>3</v>
      </c>
      <c r="AD45" s="75"/>
      <c r="AE45" s="75"/>
      <c r="AF45" s="75"/>
      <c r="AG45" s="75" t="s">
        <v>3</v>
      </c>
      <c r="AH45" s="75"/>
      <c r="AI45" s="75"/>
      <c r="AJ45" s="75"/>
      <c r="AK45" s="75" t="s">
        <v>3</v>
      </c>
      <c r="AL45" s="75"/>
      <c r="AM45" s="75"/>
      <c r="AN45" s="75"/>
      <c r="AO45" s="75" t="s">
        <v>3</v>
      </c>
      <c r="AP45" s="75"/>
      <c r="AQ45" s="75"/>
      <c r="AR45" s="75"/>
      <c r="AS45" s="75" t="s">
        <v>3</v>
      </c>
      <c r="AT45" s="75"/>
      <c r="AU45" s="75"/>
      <c r="AV45" s="75"/>
      <c r="AW45" s="75" t="s">
        <v>3</v>
      </c>
      <c r="AX45" s="76">
        <f>B45+F45+J45+N45+R45+V45+Z45+AD45+AH45+AL45+AP45+AT45</f>
        <v>1050.0</v>
      </c>
      <c r="AY45" s="75"/>
      <c r="AZ45" s="76">
        <f>D45+H45+L45+P45+T45+X45+AB45+AF45+AJ45+AN45+AR45+AV45</f>
        <v>1050.0</v>
      </c>
      <c r="BA45" s="75" t="s">
        <v>3</v>
      </c>
    </row>
    <row r="46" spans="1:53" ht="16" outlineLevel="2">
      <c r="A46" s="63" t="s">
        <v>43</v>
      </c>
      <c r="B46" s="75"/>
      <c r="C46" s="76">
        <v>27916.67</v>
      </c>
      <c r="D46" s="80">
        <v>-27916.67</v>
      </c>
      <c r="E46" s="81">
        <v>0</v>
      </c>
      <c r="F46" s="75"/>
      <c r="G46" s="76">
        <v>27916.67</v>
      </c>
      <c r="H46" s="80">
        <v>-27916.67</v>
      </c>
      <c r="I46" s="81">
        <v>0</v>
      </c>
      <c r="J46" s="75"/>
      <c r="K46" s="76">
        <v>27916.67</v>
      </c>
      <c r="L46" s="80">
        <v>-27916.67</v>
      </c>
      <c r="M46" s="81">
        <v>0</v>
      </c>
      <c r="N46" s="75"/>
      <c r="O46" s="76">
        <v>27916.67</v>
      </c>
      <c r="P46" s="80">
        <v>-27916.67</v>
      </c>
      <c r="Q46" s="81">
        <v>0</v>
      </c>
      <c r="R46" s="75"/>
      <c r="S46" s="76">
        <v>27916.67</v>
      </c>
      <c r="T46" s="80">
        <v>-27916.67</v>
      </c>
      <c r="U46" s="81">
        <v>0</v>
      </c>
      <c r="V46" s="75"/>
      <c r="W46" s="76">
        <v>27916.67</v>
      </c>
      <c r="X46" s="80">
        <v>-27916.67</v>
      </c>
      <c r="Y46" s="81">
        <v>0</v>
      </c>
      <c r="Z46" s="75"/>
      <c r="AA46" s="76">
        <v>27916.67</v>
      </c>
      <c r="AB46" s="80">
        <v>-27916.67</v>
      </c>
      <c r="AC46" s="81">
        <v>0</v>
      </c>
      <c r="AD46" s="75"/>
      <c r="AE46" s="76">
        <v>27916.67</v>
      </c>
      <c r="AF46" s="80">
        <v>-27916.67</v>
      </c>
      <c r="AG46" s="81">
        <v>0</v>
      </c>
      <c r="AH46" s="75"/>
      <c r="AI46" s="76">
        <v>27916.67</v>
      </c>
      <c r="AJ46" s="80">
        <v>-27916.67</v>
      </c>
      <c r="AK46" s="81">
        <v>0</v>
      </c>
      <c r="AL46" s="75"/>
      <c r="AM46" s="76">
        <v>27916.67</v>
      </c>
      <c r="AN46" s="80">
        <v>-27916.67</v>
      </c>
      <c r="AO46" s="81">
        <v>0</v>
      </c>
      <c r="AP46" s="75"/>
      <c r="AQ46" s="76">
        <v>27916.67</v>
      </c>
      <c r="AR46" s="80">
        <v>-27916.67</v>
      </c>
      <c r="AS46" s="81">
        <v>0</v>
      </c>
      <c r="AT46" s="75"/>
      <c r="AU46" s="76">
        <v>27916.63</v>
      </c>
      <c r="AV46" s="80">
        <v>-27916.63</v>
      </c>
      <c r="AW46" s="81">
        <v>0</v>
      </c>
      <c r="AX46" s="75"/>
      <c r="AY46" s="76">
        <f>C46+G46+K46+O46+S46+W46+AA46+AE46+AI46+AM46+AQ46+AU46</f>
        <v>334999.9999999999</v>
      </c>
      <c r="AZ46" s="80">
        <f>D46+H46+L46+P46+T46+X46+AB46+AF46+AJ46+AN46+AR46+AV46</f>
        <v>-334999.9999999999</v>
      </c>
      <c r="BA46" s="87">
        <f>IFERROR(E46+I46+M46+Q46+U46+Y46+AC46+AG46+AK46+AO46+AS46+AW46,"")</f>
        <v>0.0</v>
      </c>
    </row>
    <row r="47" spans="1:53" ht="16" outlineLevel="1">
      <c r="A47" s="64" t="s">
        <v>44</v>
      </c>
      <c r="B47" s="77">
        <f>B38+B39+B40+B41+B42+B43+B44+B45+B46</f>
        <v>41641.85</v>
      </c>
      <c r="C47" s="77">
        <f>C38+C39+C40+C41+C42+C43+C44+C45+C46</f>
        <v>32166.67</v>
      </c>
      <c r="D47" s="77">
        <f>D38+D39+D40+D41+D42+D43+D44+D45+D46</f>
        <v>9475.18</v>
      </c>
      <c r="E47" s="82">
        <v>1.2946</v>
      </c>
      <c r="F47" s="77">
        <f>F38+F39+F40+F41+F42+F43+F44+F45+F46</f>
        <v>45602.420000000006</v>
      </c>
      <c r="G47" s="77">
        <f>G38+G39+G40+G41+G42+G43+G44+G45+G46</f>
        <v>32166.67</v>
      </c>
      <c r="H47" s="77">
        <f>H38+H39+H40+H41+H42+H43+H44+H45+H46</f>
        <v>13435.750000000007</v>
      </c>
      <c r="I47" s="82">
        <v>1.4177000000000002</v>
      </c>
      <c r="J47" s="77"/>
      <c r="K47" s="77">
        <f>K38+K39+K40+K41+K42+K43+K44+K45+K46</f>
        <v>32166.67</v>
      </c>
      <c r="L47" s="78">
        <f>L38+L39+L40+L41+L42+L43+L44+L45+L46</f>
        <v>-32166.67</v>
      </c>
      <c r="M47" s="82">
        <v>0</v>
      </c>
      <c r="N47" s="77"/>
      <c r="O47" s="77">
        <f>O38+O39+O40+O41+O42+O43+O44+O45+O46</f>
        <v>32166.67</v>
      </c>
      <c r="P47" s="78">
        <f>P38+P39+P40+P41+P42+P43+P44+P45+P46</f>
        <v>-32166.67</v>
      </c>
      <c r="Q47" s="82">
        <v>0</v>
      </c>
      <c r="R47" s="77"/>
      <c r="S47" s="77">
        <f>S38+S39+S40+S41+S42+S43+S44+S45+S46</f>
        <v>32166.67</v>
      </c>
      <c r="T47" s="78">
        <f>T38+T39+T40+T41+T42+T43+T44+T45+T46</f>
        <v>-32166.67</v>
      </c>
      <c r="U47" s="82">
        <v>0</v>
      </c>
      <c r="V47" s="77"/>
      <c r="W47" s="77">
        <f>W38+W39+W40+W41+W42+W43+W44+W45+W46</f>
        <v>32166.67</v>
      </c>
      <c r="X47" s="78">
        <f>X38+X39+X40+X41+X42+X43+X44+X45+X46</f>
        <v>-32166.67</v>
      </c>
      <c r="Y47" s="82">
        <v>0</v>
      </c>
      <c r="Z47" s="77"/>
      <c r="AA47" s="77">
        <f>AA38+AA39+AA40+AA41+AA42+AA43+AA44+AA45+AA46</f>
        <v>32166.67</v>
      </c>
      <c r="AB47" s="78">
        <f>AB38+AB39+AB40+AB41+AB42+AB43+AB44+AB45+AB46</f>
        <v>-32166.67</v>
      </c>
      <c r="AC47" s="82">
        <v>0</v>
      </c>
      <c r="AD47" s="77"/>
      <c r="AE47" s="77">
        <f>AE38+AE39+AE40+AE41+AE42+AE43+AE44+AE45+AE46</f>
        <v>32166.67</v>
      </c>
      <c r="AF47" s="78">
        <f>AF38+AF39+AF40+AF41+AF42+AF43+AF44+AF45+AF46</f>
        <v>-32166.67</v>
      </c>
      <c r="AG47" s="82">
        <v>0</v>
      </c>
      <c r="AH47" s="77"/>
      <c r="AI47" s="77">
        <f>AI38+AI39+AI40+AI41+AI42+AI43+AI44+AI45+AI46</f>
        <v>32166.67</v>
      </c>
      <c r="AJ47" s="78">
        <f>AJ38+AJ39+AJ40+AJ41+AJ42+AJ43+AJ44+AJ45+AJ46</f>
        <v>-32166.67</v>
      </c>
      <c r="AK47" s="82">
        <v>0</v>
      </c>
      <c r="AL47" s="77"/>
      <c r="AM47" s="77">
        <f>AM38+AM39+AM40+AM41+AM42+AM43+AM44+AM45+AM46</f>
        <v>32166.67</v>
      </c>
      <c r="AN47" s="78">
        <f>AN38+AN39+AN40+AN41+AN42+AN43+AN44+AN45+AN46</f>
        <v>-32166.67</v>
      </c>
      <c r="AO47" s="82">
        <v>0</v>
      </c>
      <c r="AP47" s="77"/>
      <c r="AQ47" s="77">
        <f>AQ38+AQ39+AQ40+AQ41+AQ42+AQ43+AQ44+AQ45+AQ46</f>
        <v>32166.67</v>
      </c>
      <c r="AR47" s="78">
        <f>AR38+AR39+AR40+AR41+AR42+AR43+AR44+AR45+AR46</f>
        <v>-32166.67</v>
      </c>
      <c r="AS47" s="82">
        <v>0</v>
      </c>
      <c r="AT47" s="77"/>
      <c r="AU47" s="77">
        <f>AU38+AU39+AU40+AU41+AU42+AU43+AU44+AU45+AU46</f>
        <v>32166.63</v>
      </c>
      <c r="AV47" s="78">
        <f>AV38+AV39+AV40+AV41+AV42+AV43+AV44+AV45+AV46</f>
        <v>-32166.63</v>
      </c>
      <c r="AW47" s="82">
        <v>0</v>
      </c>
      <c r="AX47" s="85">
        <f>B47+F47+J47+N47+R47+V47+Z47+AD47+AH47+AL47+AP47+AT47</f>
        <v>87244.27</v>
      </c>
      <c r="AY47" s="85">
        <f>C47+G47+K47+O47+S47+W47+AA47+AE47+AI47+AM47+AQ47+AU47</f>
        <v>385999.9999999999</v>
      </c>
      <c r="AZ47" s="86">
        <f>D47+H47+L47+P47+T47+X47+AB47+AF47+AJ47+AN47+AR47+AV47</f>
        <v>-298755.7299999999</v>
      </c>
      <c r="BA47" s="82">
        <v>0.226</v>
      </c>
    </row>
    <row r="48" spans="1:53" ht="16" outlineLevel="1">
      <c r="A48" s="62" t="s">
        <v>45</v>
      </c>
      <c r="B48" s="76">
        <v>225.4</v>
      </c>
      <c r="C48" s="76">
        <v>833.33</v>
      </c>
      <c r="D48" s="80">
        <v>-607.9300000000001</v>
      </c>
      <c r="E48" s="81">
        <v>0.2705</v>
      </c>
      <c r="F48" s="76">
        <v>53.53</v>
      </c>
      <c r="G48" s="76">
        <v>833.33</v>
      </c>
      <c r="H48" s="80">
        <v>-779.8000000000001</v>
      </c>
      <c r="I48" s="81">
        <v>0.0642</v>
      </c>
      <c r="J48" s="75"/>
      <c r="K48" s="76">
        <v>833.33</v>
      </c>
      <c r="L48" s="80">
        <v>-833.33</v>
      </c>
      <c r="M48" s="81">
        <v>0</v>
      </c>
      <c r="N48" s="75"/>
      <c r="O48" s="76">
        <v>833.33</v>
      </c>
      <c r="P48" s="80">
        <v>-833.33</v>
      </c>
      <c r="Q48" s="81">
        <v>0</v>
      </c>
      <c r="R48" s="75"/>
      <c r="S48" s="76">
        <v>833.33</v>
      </c>
      <c r="T48" s="80">
        <v>-833.33</v>
      </c>
      <c r="U48" s="81">
        <v>0</v>
      </c>
      <c r="V48" s="75"/>
      <c r="W48" s="76">
        <v>833.33</v>
      </c>
      <c r="X48" s="80">
        <v>-833.33</v>
      </c>
      <c r="Y48" s="81">
        <v>0</v>
      </c>
      <c r="Z48" s="75"/>
      <c r="AA48" s="76">
        <v>833.33</v>
      </c>
      <c r="AB48" s="80">
        <v>-833.33</v>
      </c>
      <c r="AC48" s="81">
        <v>0</v>
      </c>
      <c r="AD48" s="75"/>
      <c r="AE48" s="76">
        <v>833.33</v>
      </c>
      <c r="AF48" s="80">
        <v>-833.33</v>
      </c>
      <c r="AG48" s="81">
        <v>0</v>
      </c>
      <c r="AH48" s="75"/>
      <c r="AI48" s="76">
        <v>833.33</v>
      </c>
      <c r="AJ48" s="80">
        <v>-833.33</v>
      </c>
      <c r="AK48" s="81">
        <v>0</v>
      </c>
      <c r="AL48" s="75"/>
      <c r="AM48" s="76">
        <v>833.33</v>
      </c>
      <c r="AN48" s="80">
        <v>-833.33</v>
      </c>
      <c r="AO48" s="81">
        <v>0</v>
      </c>
      <c r="AP48" s="75"/>
      <c r="AQ48" s="76">
        <v>833.33</v>
      </c>
      <c r="AR48" s="80">
        <v>-833.33</v>
      </c>
      <c r="AS48" s="81">
        <v>0</v>
      </c>
      <c r="AT48" s="75"/>
      <c r="AU48" s="76">
        <v>833.37</v>
      </c>
      <c r="AV48" s="80">
        <v>-833.37</v>
      </c>
      <c r="AW48" s="81">
        <v>0</v>
      </c>
      <c r="AX48" s="76">
        <f>B48+F48+J48+N48+R48+V48+Z48+AD48+AH48+AL48+AP48+AT48</f>
        <v>278.93</v>
      </c>
      <c r="AY48" s="76">
        <f>C48+G48+K48+O48+S48+W48+AA48+AE48+AI48+AM48+AQ48+AU48</f>
        <v>10000.000000000002</v>
      </c>
      <c r="AZ48" s="80">
        <f>D48+H48+L48+P48+T48+X48+AB48+AF48+AJ48+AN48+AR48+AV48</f>
        <v>-9721.070000000002</v>
      </c>
      <c r="BA48" s="81">
        <v>0.0279</v>
      </c>
    </row>
    <row r="49" spans="1:53" ht="16" outlineLevel="1">
      <c r="A49" s="62" t="s">
        <v>46</v>
      </c>
      <c r="B49" s="75"/>
      <c r="C49" s="75"/>
      <c r="D49" s="75"/>
      <c r="E49" s="75" t="s">
        <v>3</v>
      </c>
      <c r="F49" s="75"/>
      <c r="G49" s="75"/>
      <c r="H49" s="75"/>
      <c r="I49" s="75" t="s">
        <v>3</v>
      </c>
      <c r="J49" s="75"/>
      <c r="K49" s="75"/>
      <c r="L49" s="75"/>
      <c r="M49" s="75" t="s">
        <v>3</v>
      </c>
      <c r="N49" s="75"/>
      <c r="O49" s="75"/>
      <c r="P49" s="75"/>
      <c r="Q49" s="75" t="s">
        <v>3</v>
      </c>
      <c r="R49" s="75"/>
      <c r="S49" s="75"/>
      <c r="T49" s="75"/>
      <c r="U49" s="75" t="s">
        <v>3</v>
      </c>
      <c r="V49" s="75"/>
      <c r="W49" s="75"/>
      <c r="X49" s="75"/>
      <c r="Y49" s="75" t="s">
        <v>3</v>
      </c>
      <c r="Z49" s="75"/>
      <c r="AA49" s="75"/>
      <c r="AB49" s="75"/>
      <c r="AC49" s="75" t="s">
        <v>3</v>
      </c>
      <c r="AD49" s="75"/>
      <c r="AE49" s="75"/>
      <c r="AF49" s="75"/>
      <c r="AG49" s="75" t="s">
        <v>3</v>
      </c>
      <c r="AH49" s="75"/>
      <c r="AI49" s="75"/>
      <c r="AJ49" s="75"/>
      <c r="AK49" s="75" t="s">
        <v>3</v>
      </c>
      <c r="AL49" s="75"/>
      <c r="AM49" s="75"/>
      <c r="AN49" s="75"/>
      <c r="AO49" s="75" t="s">
        <v>3</v>
      </c>
      <c r="AP49" s="75"/>
      <c r="AQ49" s="75"/>
      <c r="AR49" s="75"/>
      <c r="AS49" s="75" t="s">
        <v>3</v>
      </c>
      <c r="AT49" s="75"/>
      <c r="AU49" s="75"/>
      <c r="AV49" s="75"/>
      <c r="AW49" s="75" t="s">
        <v>3</v>
      </c>
      <c r="AX49" s="75"/>
      <c r="AY49" s="75"/>
      <c r="AZ49" s="75"/>
      <c r="BA49" s="75" t="s">
        <v>3</v>
      </c>
    </row>
    <row r="50" spans="1:53" ht="16" outlineLevel="2">
      <c r="A50" s="63" t="s">
        <v>47</v>
      </c>
      <c r="B50" s="76">
        <v>328.66</v>
      </c>
      <c r="C50" s="76">
        <v>150.0</v>
      </c>
      <c r="D50" s="76">
        <v>178.66000000000003</v>
      </c>
      <c r="E50" s="81">
        <v>2.1911</v>
      </c>
      <c r="F50" s="75"/>
      <c r="G50" s="76">
        <v>150.0</v>
      </c>
      <c r="H50" s="80">
        <v>-150.0</v>
      </c>
      <c r="I50" s="81">
        <v>0</v>
      </c>
      <c r="J50" s="75"/>
      <c r="K50" s="76">
        <v>150.0</v>
      </c>
      <c r="L50" s="80">
        <v>-150.0</v>
      </c>
      <c r="M50" s="81">
        <v>0</v>
      </c>
      <c r="N50" s="75"/>
      <c r="O50" s="76">
        <v>150.0</v>
      </c>
      <c r="P50" s="80">
        <v>-150.0</v>
      </c>
      <c r="Q50" s="81">
        <v>0</v>
      </c>
      <c r="R50" s="75"/>
      <c r="S50" s="76">
        <v>150.0</v>
      </c>
      <c r="T50" s="80">
        <v>-150.0</v>
      </c>
      <c r="U50" s="81">
        <v>0</v>
      </c>
      <c r="V50" s="75"/>
      <c r="W50" s="76">
        <v>150.0</v>
      </c>
      <c r="X50" s="80">
        <v>-150.0</v>
      </c>
      <c r="Y50" s="81">
        <v>0</v>
      </c>
      <c r="Z50" s="75"/>
      <c r="AA50" s="76">
        <v>150.0</v>
      </c>
      <c r="AB50" s="80">
        <v>-150.0</v>
      </c>
      <c r="AC50" s="81">
        <v>0</v>
      </c>
      <c r="AD50" s="75"/>
      <c r="AE50" s="76">
        <v>150.0</v>
      </c>
      <c r="AF50" s="80">
        <v>-150.0</v>
      </c>
      <c r="AG50" s="81">
        <v>0</v>
      </c>
      <c r="AH50" s="75"/>
      <c r="AI50" s="76">
        <v>150.0</v>
      </c>
      <c r="AJ50" s="80">
        <v>-150.0</v>
      </c>
      <c r="AK50" s="81">
        <v>0</v>
      </c>
      <c r="AL50" s="75"/>
      <c r="AM50" s="76">
        <v>150.0</v>
      </c>
      <c r="AN50" s="80">
        <v>-150.0</v>
      </c>
      <c r="AO50" s="81">
        <v>0</v>
      </c>
      <c r="AP50" s="75"/>
      <c r="AQ50" s="76">
        <v>150.0</v>
      </c>
      <c r="AR50" s="80">
        <v>-150.0</v>
      </c>
      <c r="AS50" s="81">
        <v>0</v>
      </c>
      <c r="AT50" s="75"/>
      <c r="AU50" s="76">
        <v>150.0</v>
      </c>
      <c r="AV50" s="80">
        <v>-150.0</v>
      </c>
      <c r="AW50" s="81">
        <v>0</v>
      </c>
      <c r="AX50" s="76">
        <f>B50+F50+J50+N50+R50+V50+Z50+AD50+AH50+AL50+AP50+AT50</f>
        <v>328.66</v>
      </c>
      <c r="AY50" s="76">
        <f>C50+G50+K50+O50+S50+W50+AA50+AE50+AI50+AM50+AQ50+AU50</f>
        <v>1800.0</v>
      </c>
      <c r="AZ50" s="80">
        <f>D50+H50+L50+P50+T50+X50+AB50+AF50+AJ50+AN50+AR50+AV50</f>
        <v>-1471.34</v>
      </c>
      <c r="BA50" s="81">
        <v>0.1826</v>
      </c>
    </row>
    <row r="51" spans="1:53" ht="16" outlineLevel="2">
      <c r="A51" s="63" t="s">
        <v>48</v>
      </c>
      <c r="B51" s="76">
        <v>315.15</v>
      </c>
      <c r="C51" s="76">
        <v>5416.67</v>
      </c>
      <c r="D51" s="80">
        <v>-5101.52</v>
      </c>
      <c r="E51" s="81">
        <v>0.0582</v>
      </c>
      <c r="F51" s="75"/>
      <c r="G51" s="76">
        <v>5416.67</v>
      </c>
      <c r="H51" s="80">
        <v>-5416.67</v>
      </c>
      <c r="I51" s="81">
        <v>0</v>
      </c>
      <c r="J51" s="75"/>
      <c r="K51" s="76">
        <v>5416.67</v>
      </c>
      <c r="L51" s="80">
        <v>-5416.67</v>
      </c>
      <c r="M51" s="81">
        <v>0</v>
      </c>
      <c r="N51" s="75"/>
      <c r="O51" s="76">
        <v>5416.67</v>
      </c>
      <c r="P51" s="80">
        <v>-5416.67</v>
      </c>
      <c r="Q51" s="81">
        <v>0</v>
      </c>
      <c r="R51" s="75"/>
      <c r="S51" s="76">
        <v>5416.67</v>
      </c>
      <c r="T51" s="80">
        <v>-5416.67</v>
      </c>
      <c r="U51" s="81">
        <v>0</v>
      </c>
      <c r="V51" s="75"/>
      <c r="W51" s="76">
        <v>5416.67</v>
      </c>
      <c r="X51" s="80">
        <v>-5416.67</v>
      </c>
      <c r="Y51" s="81">
        <v>0</v>
      </c>
      <c r="Z51" s="75"/>
      <c r="AA51" s="76">
        <v>5416.67</v>
      </c>
      <c r="AB51" s="80">
        <v>-5416.67</v>
      </c>
      <c r="AC51" s="81">
        <v>0</v>
      </c>
      <c r="AD51" s="75"/>
      <c r="AE51" s="76">
        <v>5416.67</v>
      </c>
      <c r="AF51" s="80">
        <v>-5416.67</v>
      </c>
      <c r="AG51" s="81">
        <v>0</v>
      </c>
      <c r="AH51" s="75"/>
      <c r="AI51" s="76">
        <v>5416.67</v>
      </c>
      <c r="AJ51" s="80">
        <v>-5416.67</v>
      </c>
      <c r="AK51" s="81">
        <v>0</v>
      </c>
      <c r="AL51" s="75"/>
      <c r="AM51" s="76">
        <v>5416.67</v>
      </c>
      <c r="AN51" s="80">
        <v>-5416.67</v>
      </c>
      <c r="AO51" s="81">
        <v>0</v>
      </c>
      <c r="AP51" s="75"/>
      <c r="AQ51" s="76">
        <v>5416.67</v>
      </c>
      <c r="AR51" s="80">
        <v>-5416.67</v>
      </c>
      <c r="AS51" s="81">
        <v>0</v>
      </c>
      <c r="AT51" s="75"/>
      <c r="AU51" s="76">
        <v>5416.63</v>
      </c>
      <c r="AV51" s="80">
        <v>-5416.63</v>
      </c>
      <c r="AW51" s="81">
        <v>0</v>
      </c>
      <c r="AX51" s="76">
        <f>B51+F51+J51+N51+R51+V51+Z51+AD51+AH51+AL51+AP51+AT51</f>
        <v>315.15</v>
      </c>
      <c r="AY51" s="76">
        <f>C51+G51+K51+O51+S51+W51+AA51+AE51+AI51+AM51+AQ51+AU51</f>
        <v>64999.999999999985</v>
      </c>
      <c r="AZ51" s="80">
        <f>D51+H51+L51+P51+T51+X51+AB51+AF51+AJ51+AN51+AR51+AV51</f>
        <v>-64684.849999999984</v>
      </c>
      <c r="BA51" s="81">
        <v>0.0048</v>
      </c>
    </row>
    <row r="52" spans="1:53" ht="16" outlineLevel="2">
      <c r="A52" s="63" t="s">
        <v>49</v>
      </c>
      <c r="B52" s="76">
        <v>5210.46</v>
      </c>
      <c r="C52" s="75"/>
      <c r="D52" s="76">
        <v>5210.46</v>
      </c>
      <c r="E52" s="75" t="s">
        <v>3</v>
      </c>
      <c r="F52" s="76">
        <v>2284.63</v>
      </c>
      <c r="G52" s="75"/>
      <c r="H52" s="76">
        <v>2284.63</v>
      </c>
      <c r="I52" s="75" t="s">
        <v>3</v>
      </c>
      <c r="J52" s="75"/>
      <c r="K52" s="75"/>
      <c r="L52" s="75"/>
      <c r="M52" s="75" t="s">
        <v>3</v>
      </c>
      <c r="N52" s="75"/>
      <c r="O52" s="75"/>
      <c r="P52" s="75"/>
      <c r="Q52" s="75" t="s">
        <v>3</v>
      </c>
      <c r="R52" s="75"/>
      <c r="S52" s="75"/>
      <c r="T52" s="75"/>
      <c r="U52" s="75" t="s">
        <v>3</v>
      </c>
      <c r="V52" s="75"/>
      <c r="W52" s="75"/>
      <c r="X52" s="75"/>
      <c r="Y52" s="75" t="s">
        <v>3</v>
      </c>
      <c r="Z52" s="75"/>
      <c r="AA52" s="75"/>
      <c r="AB52" s="75"/>
      <c r="AC52" s="75" t="s">
        <v>3</v>
      </c>
      <c r="AD52" s="75"/>
      <c r="AE52" s="75"/>
      <c r="AF52" s="75"/>
      <c r="AG52" s="75" t="s">
        <v>3</v>
      </c>
      <c r="AH52" s="75"/>
      <c r="AI52" s="75"/>
      <c r="AJ52" s="75"/>
      <c r="AK52" s="75" t="s">
        <v>3</v>
      </c>
      <c r="AL52" s="75"/>
      <c r="AM52" s="75"/>
      <c r="AN52" s="75"/>
      <c r="AO52" s="75" t="s">
        <v>3</v>
      </c>
      <c r="AP52" s="75"/>
      <c r="AQ52" s="75"/>
      <c r="AR52" s="75"/>
      <c r="AS52" s="75" t="s">
        <v>3</v>
      </c>
      <c r="AT52" s="75"/>
      <c r="AU52" s="75"/>
      <c r="AV52" s="75"/>
      <c r="AW52" s="75" t="s">
        <v>3</v>
      </c>
      <c r="AX52" s="76">
        <f>B52+F52+J52+N52+R52+V52+Z52+AD52+AH52+AL52+AP52+AT52</f>
        <v>7495.09</v>
      </c>
      <c r="AY52" s="75"/>
      <c r="AZ52" s="76">
        <f>D52+H52+L52+P52+T52+X52+AB52+AF52+AJ52+AN52+AR52+AV52</f>
        <v>7495.09</v>
      </c>
      <c r="BA52" s="75" t="s">
        <v>3</v>
      </c>
    </row>
    <row r="53" spans="1:53" ht="16" outlineLevel="2">
      <c r="A53" s="63" t="s">
        <v>50</v>
      </c>
      <c r="B53" s="76">
        <v>441.51</v>
      </c>
      <c r="C53" s="75"/>
      <c r="D53" s="76">
        <v>441.51</v>
      </c>
      <c r="E53" s="75" t="s">
        <v>3</v>
      </c>
      <c r="F53" s="75"/>
      <c r="G53" s="75"/>
      <c r="H53" s="75"/>
      <c r="I53" s="75" t="s">
        <v>3</v>
      </c>
      <c r="J53" s="75"/>
      <c r="K53" s="75"/>
      <c r="L53" s="75"/>
      <c r="M53" s="75" t="s">
        <v>3</v>
      </c>
      <c r="N53" s="75"/>
      <c r="O53" s="75"/>
      <c r="P53" s="75"/>
      <c r="Q53" s="75" t="s">
        <v>3</v>
      </c>
      <c r="R53" s="75"/>
      <c r="S53" s="75"/>
      <c r="T53" s="75"/>
      <c r="U53" s="75" t="s">
        <v>3</v>
      </c>
      <c r="V53" s="75"/>
      <c r="W53" s="75"/>
      <c r="X53" s="75"/>
      <c r="Y53" s="75" t="s">
        <v>3</v>
      </c>
      <c r="Z53" s="75"/>
      <c r="AA53" s="75"/>
      <c r="AB53" s="75"/>
      <c r="AC53" s="75" t="s">
        <v>3</v>
      </c>
      <c r="AD53" s="75"/>
      <c r="AE53" s="75"/>
      <c r="AF53" s="75"/>
      <c r="AG53" s="75" t="s">
        <v>3</v>
      </c>
      <c r="AH53" s="75"/>
      <c r="AI53" s="75"/>
      <c r="AJ53" s="75"/>
      <c r="AK53" s="75" t="s">
        <v>3</v>
      </c>
      <c r="AL53" s="75"/>
      <c r="AM53" s="75"/>
      <c r="AN53" s="75"/>
      <c r="AO53" s="75" t="s">
        <v>3</v>
      </c>
      <c r="AP53" s="75"/>
      <c r="AQ53" s="75"/>
      <c r="AR53" s="75"/>
      <c r="AS53" s="75" t="s">
        <v>3</v>
      </c>
      <c r="AT53" s="75"/>
      <c r="AU53" s="75"/>
      <c r="AV53" s="75"/>
      <c r="AW53" s="75" t="s">
        <v>3</v>
      </c>
      <c r="AX53" s="76">
        <f>B53+F53+J53+N53+R53+V53+Z53+AD53+AH53+AL53+AP53+AT53</f>
        <v>441.51</v>
      </c>
      <c r="AY53" s="75"/>
      <c r="AZ53" s="76">
        <f>D53+H53+L53+P53+T53+X53+AB53+AF53+AJ53+AN53+AR53+AV53</f>
        <v>441.51</v>
      </c>
      <c r="BA53" s="75" t="s">
        <v>3</v>
      </c>
    </row>
    <row r="54" spans="1:53" ht="16" outlineLevel="2">
      <c r="A54" s="63" t="s">
        <v>51</v>
      </c>
      <c r="B54" s="76">
        <v>54.31</v>
      </c>
      <c r="C54" s="76">
        <v>208.33</v>
      </c>
      <c r="D54" s="80">
        <v>-154.02</v>
      </c>
      <c r="E54" s="81">
        <v>0.2607</v>
      </c>
      <c r="F54" s="75"/>
      <c r="G54" s="76">
        <v>208.33</v>
      </c>
      <c r="H54" s="80">
        <v>-208.33</v>
      </c>
      <c r="I54" s="81">
        <v>0</v>
      </c>
      <c r="J54" s="75"/>
      <c r="K54" s="76">
        <v>208.33</v>
      </c>
      <c r="L54" s="80">
        <v>-208.33</v>
      </c>
      <c r="M54" s="81">
        <v>0</v>
      </c>
      <c r="N54" s="75"/>
      <c r="O54" s="76">
        <v>208.33</v>
      </c>
      <c r="P54" s="80">
        <v>-208.33</v>
      </c>
      <c r="Q54" s="81">
        <v>0</v>
      </c>
      <c r="R54" s="75"/>
      <c r="S54" s="76">
        <v>208.33</v>
      </c>
      <c r="T54" s="80">
        <v>-208.33</v>
      </c>
      <c r="U54" s="81">
        <v>0</v>
      </c>
      <c r="V54" s="75"/>
      <c r="W54" s="76">
        <v>208.33</v>
      </c>
      <c r="X54" s="80">
        <v>-208.33</v>
      </c>
      <c r="Y54" s="81">
        <v>0</v>
      </c>
      <c r="Z54" s="75"/>
      <c r="AA54" s="76">
        <v>208.33</v>
      </c>
      <c r="AB54" s="80">
        <v>-208.33</v>
      </c>
      <c r="AC54" s="81">
        <v>0</v>
      </c>
      <c r="AD54" s="75"/>
      <c r="AE54" s="76">
        <v>208.33</v>
      </c>
      <c r="AF54" s="80">
        <v>-208.33</v>
      </c>
      <c r="AG54" s="81">
        <v>0</v>
      </c>
      <c r="AH54" s="75"/>
      <c r="AI54" s="76">
        <v>208.33</v>
      </c>
      <c r="AJ54" s="80">
        <v>-208.33</v>
      </c>
      <c r="AK54" s="81">
        <v>0</v>
      </c>
      <c r="AL54" s="75"/>
      <c r="AM54" s="76">
        <v>208.33</v>
      </c>
      <c r="AN54" s="80">
        <v>-208.33</v>
      </c>
      <c r="AO54" s="81">
        <v>0</v>
      </c>
      <c r="AP54" s="75"/>
      <c r="AQ54" s="76">
        <v>208.33</v>
      </c>
      <c r="AR54" s="80">
        <v>-208.33</v>
      </c>
      <c r="AS54" s="81">
        <v>0</v>
      </c>
      <c r="AT54" s="75"/>
      <c r="AU54" s="76">
        <v>208.37</v>
      </c>
      <c r="AV54" s="80">
        <v>-208.37</v>
      </c>
      <c r="AW54" s="81">
        <v>0</v>
      </c>
      <c r="AX54" s="76">
        <f>B54+F54+J54+N54+R54+V54+Z54+AD54+AH54+AL54+AP54+AT54</f>
        <v>54.31</v>
      </c>
      <c r="AY54" s="76">
        <f>C54+G54+K54+O54+S54+W54+AA54+AE54+AI54+AM54+AQ54+AU54</f>
        <v>2499.9999999999995</v>
      </c>
      <c r="AZ54" s="80">
        <f>D54+H54+L54+P54+T54+X54+AB54+AF54+AJ54+AN54+AR54+AV54</f>
        <v>-2445.6899999999996</v>
      </c>
      <c r="BA54" s="81">
        <v>0.0217</v>
      </c>
    </row>
    <row r="55" spans="1:53" ht="16" outlineLevel="2">
      <c r="A55" s="63" t="s">
        <v>52</v>
      </c>
      <c r="B55" s="76">
        <v>74.84</v>
      </c>
      <c r="C55" s="76">
        <v>125.0</v>
      </c>
      <c r="D55" s="80">
        <v>-50.16</v>
      </c>
      <c r="E55" s="81">
        <v>0.5987</v>
      </c>
      <c r="F55" s="76">
        <v>20.04</v>
      </c>
      <c r="G55" s="76">
        <v>125.0</v>
      </c>
      <c r="H55" s="80">
        <v>-104.96000000000001</v>
      </c>
      <c r="I55" s="81">
        <v>0.1603</v>
      </c>
      <c r="J55" s="75"/>
      <c r="K55" s="76">
        <v>125.0</v>
      </c>
      <c r="L55" s="80">
        <v>-125.0</v>
      </c>
      <c r="M55" s="81">
        <v>0</v>
      </c>
      <c r="N55" s="75"/>
      <c r="O55" s="76">
        <v>125.0</v>
      </c>
      <c r="P55" s="80">
        <v>-125.0</v>
      </c>
      <c r="Q55" s="81">
        <v>0</v>
      </c>
      <c r="R55" s="75"/>
      <c r="S55" s="76">
        <v>125.0</v>
      </c>
      <c r="T55" s="80">
        <v>-125.0</v>
      </c>
      <c r="U55" s="81">
        <v>0</v>
      </c>
      <c r="V55" s="75"/>
      <c r="W55" s="76">
        <v>125.0</v>
      </c>
      <c r="X55" s="80">
        <v>-125.0</v>
      </c>
      <c r="Y55" s="81">
        <v>0</v>
      </c>
      <c r="Z55" s="75"/>
      <c r="AA55" s="76">
        <v>125.0</v>
      </c>
      <c r="AB55" s="80">
        <v>-125.0</v>
      </c>
      <c r="AC55" s="81">
        <v>0</v>
      </c>
      <c r="AD55" s="75"/>
      <c r="AE55" s="76">
        <v>125.0</v>
      </c>
      <c r="AF55" s="80">
        <v>-125.0</v>
      </c>
      <c r="AG55" s="81">
        <v>0</v>
      </c>
      <c r="AH55" s="75"/>
      <c r="AI55" s="76">
        <v>125.0</v>
      </c>
      <c r="AJ55" s="80">
        <v>-125.0</v>
      </c>
      <c r="AK55" s="81">
        <v>0</v>
      </c>
      <c r="AL55" s="75"/>
      <c r="AM55" s="76">
        <v>125.0</v>
      </c>
      <c r="AN55" s="80">
        <v>-125.0</v>
      </c>
      <c r="AO55" s="81">
        <v>0</v>
      </c>
      <c r="AP55" s="75"/>
      <c r="AQ55" s="76">
        <v>125.0</v>
      </c>
      <c r="AR55" s="80">
        <v>-125.0</v>
      </c>
      <c r="AS55" s="81">
        <v>0</v>
      </c>
      <c r="AT55" s="75"/>
      <c r="AU55" s="76">
        <v>125.0</v>
      </c>
      <c r="AV55" s="80">
        <v>-125.0</v>
      </c>
      <c r="AW55" s="81">
        <v>0</v>
      </c>
      <c r="AX55" s="76">
        <f>B55+F55+J55+N55+R55+V55+Z55+AD55+AH55+AL55+AP55+AT55</f>
        <v>94.88</v>
      </c>
      <c r="AY55" s="76">
        <f>C55+G55+K55+O55+S55+W55+AA55+AE55+AI55+AM55+AQ55+AU55</f>
        <v>1500.0</v>
      </c>
      <c r="AZ55" s="80">
        <f>D55+H55+L55+P55+T55+X55+AB55+AF55+AJ55+AN55+AR55+AV55</f>
        <v>-1405.12</v>
      </c>
      <c r="BA55" s="90">
        <v>0.0633</v>
      </c>
    </row>
    <row r="56" spans="1:53" ht="16" outlineLevel="1">
      <c r="A56" s="64" t="s">
        <v>53</v>
      </c>
      <c r="B56" s="77">
        <f>B49+B50+B51+B52+B53+B54+B55</f>
        <v>6424.930000000001</v>
      </c>
      <c r="C56" s="77">
        <f>C49+C50+C51+C52+C53+C54+C55</f>
        <v>5900.0</v>
      </c>
      <c r="D56" s="77">
        <f>D49+D50+D51+D52+D53+D54+D55</f>
        <v>524.9299999999995</v>
      </c>
      <c r="E56" s="82">
        <v>1.089</v>
      </c>
      <c r="F56" s="77">
        <f>F49+F50+F51+F52+F53+F54+F55</f>
        <v>2304.67</v>
      </c>
      <c r="G56" s="77">
        <f>G49+G50+G51+G52+G53+G54+G55</f>
        <v>5900.0</v>
      </c>
      <c r="H56" s="78">
        <f>H49+H50+H51+H52+H53+H54+H55</f>
        <v>-3595.33</v>
      </c>
      <c r="I56" s="82">
        <v>0.3906</v>
      </c>
      <c r="J56" s="77"/>
      <c r="K56" s="77">
        <f>K49+K50+K51+K52+K53+K54+K55</f>
        <v>5900.0</v>
      </c>
      <c r="L56" s="78">
        <f>L49+L50+L51+L52+L53+L54+L55</f>
        <v>-5900.0</v>
      </c>
      <c r="M56" s="82">
        <v>0</v>
      </c>
      <c r="N56" s="77"/>
      <c r="O56" s="77">
        <f>O49+O50+O51+O52+O53+O54+O55</f>
        <v>5900.0</v>
      </c>
      <c r="P56" s="78">
        <f>P49+P50+P51+P52+P53+P54+P55</f>
        <v>-5900.0</v>
      </c>
      <c r="Q56" s="82">
        <v>0</v>
      </c>
      <c r="R56" s="77"/>
      <c r="S56" s="77">
        <f>S49+S50+S51+S52+S53+S54+S55</f>
        <v>5900.0</v>
      </c>
      <c r="T56" s="78">
        <f>T49+T50+T51+T52+T53+T54+T55</f>
        <v>-5900.0</v>
      </c>
      <c r="U56" s="82">
        <v>0</v>
      </c>
      <c r="V56" s="77"/>
      <c r="W56" s="77">
        <f>W49+W50+W51+W52+W53+W54+W55</f>
        <v>5900.0</v>
      </c>
      <c r="X56" s="78">
        <f>X49+X50+X51+X52+X53+X54+X55</f>
        <v>-5900.0</v>
      </c>
      <c r="Y56" s="82">
        <v>0</v>
      </c>
      <c r="Z56" s="77"/>
      <c r="AA56" s="77">
        <f>AA49+AA50+AA51+AA52+AA53+AA54+AA55</f>
        <v>5900.0</v>
      </c>
      <c r="AB56" s="78">
        <f>AB49+AB50+AB51+AB52+AB53+AB54+AB55</f>
        <v>-5900.0</v>
      </c>
      <c r="AC56" s="82">
        <v>0</v>
      </c>
      <c r="AD56" s="77"/>
      <c r="AE56" s="77">
        <f>AE49+AE50+AE51+AE52+AE53+AE54+AE55</f>
        <v>5900.0</v>
      </c>
      <c r="AF56" s="78">
        <f>AF49+AF50+AF51+AF52+AF53+AF54+AF55</f>
        <v>-5900.0</v>
      </c>
      <c r="AG56" s="82">
        <v>0</v>
      </c>
      <c r="AH56" s="77"/>
      <c r="AI56" s="77">
        <f>AI49+AI50+AI51+AI52+AI53+AI54+AI55</f>
        <v>5900.0</v>
      </c>
      <c r="AJ56" s="78">
        <f>AJ49+AJ50+AJ51+AJ52+AJ53+AJ54+AJ55</f>
        <v>-5900.0</v>
      </c>
      <c r="AK56" s="82">
        <v>0</v>
      </c>
      <c r="AL56" s="77"/>
      <c r="AM56" s="77">
        <f>AM49+AM50+AM51+AM52+AM53+AM54+AM55</f>
        <v>5900.0</v>
      </c>
      <c r="AN56" s="78">
        <f>AN49+AN50+AN51+AN52+AN53+AN54+AN55</f>
        <v>-5900.0</v>
      </c>
      <c r="AO56" s="82">
        <v>0</v>
      </c>
      <c r="AP56" s="77"/>
      <c r="AQ56" s="77">
        <f>AQ49+AQ50+AQ51+AQ52+AQ53+AQ54+AQ55</f>
        <v>5900.0</v>
      </c>
      <c r="AR56" s="78">
        <f>AR49+AR50+AR51+AR52+AR53+AR54+AR55</f>
        <v>-5900.0</v>
      </c>
      <c r="AS56" s="82">
        <v>0</v>
      </c>
      <c r="AT56" s="77"/>
      <c r="AU56" s="77">
        <f>AU49+AU50+AU51+AU52+AU53+AU54+AU55</f>
        <v>5900.0</v>
      </c>
      <c r="AV56" s="78">
        <f>AV49+AV50+AV51+AV52+AV53+AV54+AV55</f>
        <v>-5900.0</v>
      </c>
      <c r="AW56" s="82">
        <v>0</v>
      </c>
      <c r="AX56" s="85">
        <f>B56+F56+J56+N56+R56+V56+Z56+AD56+AH56+AL56+AP56+AT56</f>
        <v>8729.600000000002</v>
      </c>
      <c r="AY56" s="85">
        <f>C56+G56+K56+O56+S56+W56+AA56+AE56+AI56+AM56+AQ56+AU56</f>
        <v>70800.0</v>
      </c>
      <c r="AZ56" s="86">
        <f>D56+H56+L56+P56+T56+X56+AB56+AF56+AJ56+AN56+AR56+AV56</f>
        <v>-62070.4</v>
      </c>
      <c r="BA56" s="82">
        <v>0.1233</v>
      </c>
    </row>
    <row r="57" spans="1:53" ht="16" outlineLevel="1">
      <c r="A57" s="62" t="s">
        <v>54</v>
      </c>
      <c r="B57" s="76">
        <v>1256.93</v>
      </c>
      <c r="C57" s="76">
        <v>5416.67</v>
      </c>
      <c r="D57" s="80">
        <v>-4159.74</v>
      </c>
      <c r="E57" s="81">
        <v>0.23199999999999998</v>
      </c>
      <c r="F57" s="76">
        <v>1230.06</v>
      </c>
      <c r="G57" s="76">
        <v>5416.67</v>
      </c>
      <c r="H57" s="80">
        <v>-4186.610000000001</v>
      </c>
      <c r="I57" s="81">
        <v>0.2271</v>
      </c>
      <c r="J57" s="75"/>
      <c r="K57" s="76">
        <v>5416.67</v>
      </c>
      <c r="L57" s="80">
        <v>-5416.67</v>
      </c>
      <c r="M57" s="81">
        <v>0</v>
      </c>
      <c r="N57" s="75"/>
      <c r="O57" s="76">
        <v>5416.67</v>
      </c>
      <c r="P57" s="80">
        <v>-5416.67</v>
      </c>
      <c r="Q57" s="81">
        <v>0</v>
      </c>
      <c r="R57" s="75"/>
      <c r="S57" s="76">
        <v>5416.67</v>
      </c>
      <c r="T57" s="80">
        <v>-5416.67</v>
      </c>
      <c r="U57" s="81">
        <v>0</v>
      </c>
      <c r="V57" s="75"/>
      <c r="W57" s="76">
        <v>5416.67</v>
      </c>
      <c r="X57" s="80">
        <v>-5416.67</v>
      </c>
      <c r="Y57" s="81">
        <v>0</v>
      </c>
      <c r="Z57" s="75"/>
      <c r="AA57" s="76">
        <v>5416.67</v>
      </c>
      <c r="AB57" s="80">
        <v>-5416.67</v>
      </c>
      <c r="AC57" s="81">
        <v>0</v>
      </c>
      <c r="AD57" s="75"/>
      <c r="AE57" s="76">
        <v>5416.67</v>
      </c>
      <c r="AF57" s="80">
        <v>-5416.67</v>
      </c>
      <c r="AG57" s="81">
        <v>0</v>
      </c>
      <c r="AH57" s="75"/>
      <c r="AI57" s="76">
        <v>5416.67</v>
      </c>
      <c r="AJ57" s="80">
        <v>-5416.67</v>
      </c>
      <c r="AK57" s="81">
        <v>0</v>
      </c>
      <c r="AL57" s="75"/>
      <c r="AM57" s="76">
        <v>5416.67</v>
      </c>
      <c r="AN57" s="80">
        <v>-5416.67</v>
      </c>
      <c r="AO57" s="81">
        <v>0</v>
      </c>
      <c r="AP57" s="75"/>
      <c r="AQ57" s="76">
        <v>5416.67</v>
      </c>
      <c r="AR57" s="80">
        <v>-5416.67</v>
      </c>
      <c r="AS57" s="81">
        <v>0</v>
      </c>
      <c r="AT57" s="75"/>
      <c r="AU57" s="76">
        <v>5416.63</v>
      </c>
      <c r="AV57" s="80">
        <v>-5416.63</v>
      </c>
      <c r="AW57" s="81">
        <v>0</v>
      </c>
      <c r="AX57" s="76">
        <f>B57+F57+J57+N57+R57+V57+Z57+AD57+AH57+AL57+AP57+AT57</f>
        <v>2486.99</v>
      </c>
      <c r="AY57" s="76">
        <f>C57+G57+K57+O57+S57+W57+AA57+AE57+AI57+AM57+AQ57+AU57</f>
        <v>64999.999999999985</v>
      </c>
      <c r="AZ57" s="80">
        <f>D57+H57+L57+P57+T57+X57+AB57+AF57+AJ57+AN57+AR57+AV57</f>
        <v>-62513.00999999999</v>
      </c>
      <c r="BA57" s="81">
        <v>0.0383</v>
      </c>
    </row>
    <row r="58" spans="1:53" ht="16" outlineLevel="2">
      <c r="A58" s="63" t="s">
        <v>55</v>
      </c>
      <c r="B58" s="76">
        <v>1244.02</v>
      </c>
      <c r="C58" s="75"/>
      <c r="D58" s="76">
        <v>1244.02</v>
      </c>
      <c r="E58" s="75" t="s">
        <v>3</v>
      </c>
      <c r="F58" s="75"/>
      <c r="G58" s="75"/>
      <c r="H58" s="75"/>
      <c r="I58" s="75" t="s">
        <v>3</v>
      </c>
      <c r="J58" s="75"/>
      <c r="K58" s="75"/>
      <c r="L58" s="75"/>
      <c r="M58" s="75" t="s">
        <v>3</v>
      </c>
      <c r="N58" s="75"/>
      <c r="O58" s="75"/>
      <c r="P58" s="75"/>
      <c r="Q58" s="75" t="s">
        <v>3</v>
      </c>
      <c r="R58" s="75"/>
      <c r="S58" s="75"/>
      <c r="T58" s="75"/>
      <c r="U58" s="75" t="s">
        <v>3</v>
      </c>
      <c r="V58" s="75"/>
      <c r="W58" s="75"/>
      <c r="X58" s="75"/>
      <c r="Y58" s="75" t="s">
        <v>3</v>
      </c>
      <c r="Z58" s="75"/>
      <c r="AA58" s="75"/>
      <c r="AB58" s="75"/>
      <c r="AC58" s="75" t="s">
        <v>3</v>
      </c>
      <c r="AD58" s="75"/>
      <c r="AE58" s="75"/>
      <c r="AF58" s="75"/>
      <c r="AG58" s="75" t="s">
        <v>3</v>
      </c>
      <c r="AH58" s="75"/>
      <c r="AI58" s="75"/>
      <c r="AJ58" s="75"/>
      <c r="AK58" s="75" t="s">
        <v>3</v>
      </c>
      <c r="AL58" s="75"/>
      <c r="AM58" s="75"/>
      <c r="AN58" s="75"/>
      <c r="AO58" s="75" t="s">
        <v>3</v>
      </c>
      <c r="AP58" s="75"/>
      <c r="AQ58" s="75"/>
      <c r="AR58" s="75"/>
      <c r="AS58" s="75" t="s">
        <v>3</v>
      </c>
      <c r="AT58" s="75"/>
      <c r="AU58" s="75"/>
      <c r="AV58" s="75"/>
      <c r="AW58" s="75" t="s">
        <v>3</v>
      </c>
      <c r="AX58" s="76">
        <f>B58+F58+J58+N58+R58+V58+Z58+AD58+AH58+AL58+AP58+AT58</f>
        <v>1244.02</v>
      </c>
      <c r="AY58" s="75"/>
      <c r="AZ58" s="76">
        <f>D58+H58+L58+P58+T58+X58+AB58+AF58+AJ58+AN58+AR58+AV58</f>
        <v>1244.02</v>
      </c>
      <c r="BA58" s="75" t="s">
        <v>3</v>
      </c>
    </row>
    <row r="59" spans="1:53" ht="16" outlineLevel="2">
      <c r="A59" s="63" t="s">
        <v>56</v>
      </c>
      <c r="B59" s="76">
        <v>731.5</v>
      </c>
      <c r="C59" s="75"/>
      <c r="D59" s="76">
        <v>731.5</v>
      </c>
      <c r="E59" s="75" t="s">
        <v>3</v>
      </c>
      <c r="F59" s="75"/>
      <c r="G59" s="75"/>
      <c r="H59" s="75"/>
      <c r="I59" s="75" t="s">
        <v>3</v>
      </c>
      <c r="J59" s="75"/>
      <c r="K59" s="75"/>
      <c r="L59" s="75"/>
      <c r="M59" s="75" t="s">
        <v>3</v>
      </c>
      <c r="N59" s="75"/>
      <c r="O59" s="75"/>
      <c r="P59" s="75"/>
      <c r="Q59" s="75" t="s">
        <v>3</v>
      </c>
      <c r="R59" s="75"/>
      <c r="S59" s="75"/>
      <c r="T59" s="75"/>
      <c r="U59" s="75" t="s">
        <v>3</v>
      </c>
      <c r="V59" s="75"/>
      <c r="W59" s="75"/>
      <c r="X59" s="75"/>
      <c r="Y59" s="75" t="s">
        <v>3</v>
      </c>
      <c r="Z59" s="75"/>
      <c r="AA59" s="75"/>
      <c r="AB59" s="75"/>
      <c r="AC59" s="75" t="s">
        <v>3</v>
      </c>
      <c r="AD59" s="75"/>
      <c r="AE59" s="75"/>
      <c r="AF59" s="75"/>
      <c r="AG59" s="75" t="s">
        <v>3</v>
      </c>
      <c r="AH59" s="75"/>
      <c r="AI59" s="75"/>
      <c r="AJ59" s="75"/>
      <c r="AK59" s="75" t="s">
        <v>3</v>
      </c>
      <c r="AL59" s="75"/>
      <c r="AM59" s="75"/>
      <c r="AN59" s="75"/>
      <c r="AO59" s="75" t="s">
        <v>3</v>
      </c>
      <c r="AP59" s="75"/>
      <c r="AQ59" s="75"/>
      <c r="AR59" s="75"/>
      <c r="AS59" s="75" t="s">
        <v>3</v>
      </c>
      <c r="AT59" s="75"/>
      <c r="AU59" s="75"/>
      <c r="AV59" s="75"/>
      <c r="AW59" s="75" t="s">
        <v>3</v>
      </c>
      <c r="AX59" s="76">
        <f>B59+F59+J59+N59+R59+V59+Z59+AD59+AH59+AL59+AP59+AT59</f>
        <v>731.5</v>
      </c>
      <c r="AY59" s="75"/>
      <c r="AZ59" s="76">
        <f>D59+H59+L59+P59+T59+X59+AB59+AF59+AJ59+AN59+AR59+AV59</f>
        <v>731.5</v>
      </c>
      <c r="BA59" s="75" t="s">
        <v>3</v>
      </c>
    </row>
    <row r="60" spans="1:53" ht="16" outlineLevel="1">
      <c r="A60" s="64" t="s">
        <v>57</v>
      </c>
      <c r="B60" s="77">
        <f>B57+B58+B59</f>
        <v>3232.45</v>
      </c>
      <c r="C60" s="77">
        <f>C57+C58+C59</f>
        <v>5416.67</v>
      </c>
      <c r="D60" s="78">
        <f>D57+D58+D59</f>
        <v>-2184.22</v>
      </c>
      <c r="E60" s="82">
        <v>0.5968</v>
      </c>
      <c r="F60" s="77">
        <f>F57+F58+F59</f>
        <v>1230.06</v>
      </c>
      <c r="G60" s="77">
        <f>G57+G58+G59</f>
        <v>5416.67</v>
      </c>
      <c r="H60" s="78">
        <f>H57+H58+H59</f>
        <v>-4186.610000000001</v>
      </c>
      <c r="I60" s="82">
        <v>0.2271</v>
      </c>
      <c r="J60" s="77"/>
      <c r="K60" s="77">
        <f>K57+K58+K59</f>
        <v>5416.67</v>
      </c>
      <c r="L60" s="78">
        <f>L57+L58+L59</f>
        <v>-5416.67</v>
      </c>
      <c r="M60" s="82">
        <v>0</v>
      </c>
      <c r="N60" s="77"/>
      <c r="O60" s="77">
        <f>O57+O58+O59</f>
        <v>5416.67</v>
      </c>
      <c r="P60" s="78">
        <f>P57+P58+P59</f>
        <v>-5416.67</v>
      </c>
      <c r="Q60" s="82">
        <v>0</v>
      </c>
      <c r="R60" s="77"/>
      <c r="S60" s="77">
        <f>S57+S58+S59</f>
        <v>5416.67</v>
      </c>
      <c r="T60" s="78">
        <f>T57+T58+T59</f>
        <v>-5416.67</v>
      </c>
      <c r="U60" s="82">
        <v>0</v>
      </c>
      <c r="V60" s="77"/>
      <c r="W60" s="77">
        <f>W57+W58+W59</f>
        <v>5416.67</v>
      </c>
      <c r="X60" s="78">
        <f>X57+X58+X59</f>
        <v>-5416.67</v>
      </c>
      <c r="Y60" s="82">
        <v>0</v>
      </c>
      <c r="Z60" s="77"/>
      <c r="AA60" s="77">
        <f>AA57+AA58+AA59</f>
        <v>5416.67</v>
      </c>
      <c r="AB60" s="78">
        <f>AB57+AB58+AB59</f>
        <v>-5416.67</v>
      </c>
      <c r="AC60" s="82">
        <v>0</v>
      </c>
      <c r="AD60" s="77"/>
      <c r="AE60" s="77">
        <f>AE57+AE58+AE59</f>
        <v>5416.67</v>
      </c>
      <c r="AF60" s="78">
        <f>AF57+AF58+AF59</f>
        <v>-5416.67</v>
      </c>
      <c r="AG60" s="82">
        <v>0</v>
      </c>
      <c r="AH60" s="77"/>
      <c r="AI60" s="77">
        <f>AI57+AI58+AI59</f>
        <v>5416.67</v>
      </c>
      <c r="AJ60" s="78">
        <f>AJ57+AJ58+AJ59</f>
        <v>-5416.67</v>
      </c>
      <c r="AK60" s="82">
        <v>0</v>
      </c>
      <c r="AL60" s="77"/>
      <c r="AM60" s="77">
        <f>AM57+AM58+AM59</f>
        <v>5416.67</v>
      </c>
      <c r="AN60" s="78">
        <f>AN57+AN58+AN59</f>
        <v>-5416.67</v>
      </c>
      <c r="AO60" s="82">
        <v>0</v>
      </c>
      <c r="AP60" s="77"/>
      <c r="AQ60" s="77">
        <f>AQ57+AQ58+AQ59</f>
        <v>5416.67</v>
      </c>
      <c r="AR60" s="78">
        <f>AR57+AR58+AR59</f>
        <v>-5416.67</v>
      </c>
      <c r="AS60" s="82">
        <v>0</v>
      </c>
      <c r="AT60" s="77"/>
      <c r="AU60" s="77">
        <f>AU57+AU58+AU59</f>
        <v>5416.63</v>
      </c>
      <c r="AV60" s="78">
        <f>AV57+AV58+AV59</f>
        <v>-5416.63</v>
      </c>
      <c r="AW60" s="82">
        <v>0</v>
      </c>
      <c r="AX60" s="85">
        <f>B60+F60+J60+N60+R60+V60+Z60+AD60+AH60+AL60+AP60+AT60</f>
        <v>4462.51</v>
      </c>
      <c r="AY60" s="85">
        <f>C60+G60+K60+O60+S60+W60+AA60+AE60+AI60+AM60+AQ60+AU60</f>
        <v>64999.999999999985</v>
      </c>
      <c r="AZ60" s="86">
        <f>D60+H60+L60+P60+T60+X60+AB60+AF60+AJ60+AN60+AR60+AV60</f>
        <v>-60537.48999999998</v>
      </c>
      <c r="BA60" s="82">
        <v>0.0687</v>
      </c>
    </row>
    <row r="61" spans="1:53" ht="16" outlineLevel="1">
      <c r="A61" s="62" t="s">
        <v>58</v>
      </c>
      <c r="B61" s="75"/>
      <c r="C61" s="76">
        <v>166.67</v>
      </c>
      <c r="D61" s="80">
        <v>-166.67</v>
      </c>
      <c r="E61" s="81">
        <v>0</v>
      </c>
      <c r="F61" s="75"/>
      <c r="G61" s="76">
        <v>166.67</v>
      </c>
      <c r="H61" s="80">
        <v>-166.67</v>
      </c>
      <c r="I61" s="81">
        <v>0</v>
      </c>
      <c r="J61" s="75"/>
      <c r="K61" s="76">
        <v>166.67</v>
      </c>
      <c r="L61" s="80">
        <v>-166.67</v>
      </c>
      <c r="M61" s="81">
        <v>0</v>
      </c>
      <c r="N61" s="75"/>
      <c r="O61" s="76">
        <v>166.67</v>
      </c>
      <c r="P61" s="80">
        <v>-166.67</v>
      </c>
      <c r="Q61" s="81">
        <v>0</v>
      </c>
      <c r="R61" s="75"/>
      <c r="S61" s="76">
        <v>166.67</v>
      </c>
      <c r="T61" s="80">
        <v>-166.67</v>
      </c>
      <c r="U61" s="81">
        <v>0</v>
      </c>
      <c r="V61" s="75"/>
      <c r="W61" s="76">
        <v>166.67</v>
      </c>
      <c r="X61" s="80">
        <v>-166.67</v>
      </c>
      <c r="Y61" s="81">
        <v>0</v>
      </c>
      <c r="Z61" s="75"/>
      <c r="AA61" s="76">
        <v>166.67</v>
      </c>
      <c r="AB61" s="80">
        <v>-166.67</v>
      </c>
      <c r="AC61" s="81">
        <v>0</v>
      </c>
      <c r="AD61" s="75"/>
      <c r="AE61" s="76">
        <v>166.67</v>
      </c>
      <c r="AF61" s="80">
        <v>-166.67</v>
      </c>
      <c r="AG61" s="81">
        <v>0</v>
      </c>
      <c r="AH61" s="75"/>
      <c r="AI61" s="76">
        <v>166.67</v>
      </c>
      <c r="AJ61" s="80">
        <v>-166.67</v>
      </c>
      <c r="AK61" s="81">
        <v>0</v>
      </c>
      <c r="AL61" s="75"/>
      <c r="AM61" s="76">
        <v>166.67</v>
      </c>
      <c r="AN61" s="80">
        <v>-166.67</v>
      </c>
      <c r="AO61" s="81">
        <v>0</v>
      </c>
      <c r="AP61" s="75"/>
      <c r="AQ61" s="76">
        <v>166.67</v>
      </c>
      <c r="AR61" s="80">
        <v>-166.67</v>
      </c>
      <c r="AS61" s="81">
        <v>0</v>
      </c>
      <c r="AT61" s="75"/>
      <c r="AU61" s="76">
        <v>166.63</v>
      </c>
      <c r="AV61" s="80">
        <v>-166.63</v>
      </c>
      <c r="AW61" s="81">
        <v>0</v>
      </c>
      <c r="AX61" s="75"/>
      <c r="AY61" s="76">
        <f>C61+G61+K61+O61+S61+W61+AA61+AE61+AI61+AM61+AQ61+AU61</f>
        <v>2000.0</v>
      </c>
      <c r="AZ61" s="80">
        <f>D61+H61+L61+P61+T61+X61+AB61+AF61+AJ61+AN61+AR61+AV61</f>
        <v>-2000.0</v>
      </c>
      <c r="BA61" s="87">
        <f>IFERROR(E61+I61+M61+Q61+U61+Y61+AC61+AG61+AK61+AO61+AS61+AW61,"")</f>
        <v>0.0</v>
      </c>
    </row>
    <row r="62" spans="1:53" ht="16" outlineLevel="1">
      <c r="A62" s="62" t="s">
        <v>59</v>
      </c>
      <c r="B62" s="75"/>
      <c r="C62" s="75"/>
      <c r="D62" s="75"/>
      <c r="E62" s="75" t="s">
        <v>3</v>
      </c>
      <c r="F62" s="75"/>
      <c r="G62" s="75"/>
      <c r="H62" s="75"/>
      <c r="I62" s="75" t="s">
        <v>3</v>
      </c>
      <c r="J62" s="75"/>
      <c r="K62" s="75"/>
      <c r="L62" s="75"/>
      <c r="M62" s="75" t="s">
        <v>3</v>
      </c>
      <c r="N62" s="75"/>
      <c r="O62" s="75"/>
      <c r="P62" s="75"/>
      <c r="Q62" s="75" t="s">
        <v>3</v>
      </c>
      <c r="R62" s="75"/>
      <c r="S62" s="75"/>
      <c r="T62" s="75"/>
      <c r="U62" s="75" t="s">
        <v>3</v>
      </c>
      <c r="V62" s="75"/>
      <c r="W62" s="75"/>
      <c r="X62" s="75"/>
      <c r="Y62" s="75" t="s">
        <v>3</v>
      </c>
      <c r="Z62" s="75"/>
      <c r="AA62" s="75"/>
      <c r="AB62" s="75"/>
      <c r="AC62" s="75" t="s">
        <v>3</v>
      </c>
      <c r="AD62" s="75"/>
      <c r="AE62" s="75"/>
      <c r="AF62" s="75"/>
      <c r="AG62" s="75" t="s">
        <v>3</v>
      </c>
      <c r="AH62" s="75"/>
      <c r="AI62" s="75"/>
      <c r="AJ62" s="75"/>
      <c r="AK62" s="75" t="s">
        <v>3</v>
      </c>
      <c r="AL62" s="75"/>
      <c r="AM62" s="75"/>
      <c r="AN62" s="75"/>
      <c r="AO62" s="75" t="s">
        <v>3</v>
      </c>
      <c r="AP62" s="75"/>
      <c r="AQ62" s="75"/>
      <c r="AR62" s="75"/>
      <c r="AS62" s="75" t="s">
        <v>3</v>
      </c>
      <c r="AT62" s="75"/>
      <c r="AU62" s="75"/>
      <c r="AV62" s="75"/>
      <c r="AW62" s="75" t="s">
        <v>3</v>
      </c>
      <c r="AX62" s="75"/>
      <c r="AY62" s="75"/>
      <c r="AZ62" s="75"/>
      <c r="BA62" s="75" t="s">
        <v>3</v>
      </c>
    </row>
    <row r="63" spans="1:53" ht="16" outlineLevel="2">
      <c r="A63" s="63" t="s">
        <v>60</v>
      </c>
      <c r="B63" s="75"/>
      <c r="C63" s="76">
        <v>1333.33</v>
      </c>
      <c r="D63" s="80">
        <v>-1333.33</v>
      </c>
      <c r="E63" s="81">
        <v>0</v>
      </c>
      <c r="F63" s="75"/>
      <c r="G63" s="76">
        <v>1333.33</v>
      </c>
      <c r="H63" s="80">
        <v>-1333.33</v>
      </c>
      <c r="I63" s="81">
        <v>0</v>
      </c>
      <c r="J63" s="75"/>
      <c r="K63" s="76">
        <v>1333.33</v>
      </c>
      <c r="L63" s="80">
        <v>-1333.33</v>
      </c>
      <c r="M63" s="81">
        <v>0</v>
      </c>
      <c r="N63" s="75"/>
      <c r="O63" s="76">
        <v>1333.33</v>
      </c>
      <c r="P63" s="80">
        <v>-1333.33</v>
      </c>
      <c r="Q63" s="81">
        <v>0</v>
      </c>
      <c r="R63" s="75"/>
      <c r="S63" s="76">
        <v>1333.33</v>
      </c>
      <c r="T63" s="80">
        <v>-1333.33</v>
      </c>
      <c r="U63" s="81">
        <v>0</v>
      </c>
      <c r="V63" s="75"/>
      <c r="W63" s="76">
        <v>1333.33</v>
      </c>
      <c r="X63" s="80">
        <v>-1333.33</v>
      </c>
      <c r="Y63" s="81">
        <v>0</v>
      </c>
      <c r="Z63" s="75"/>
      <c r="AA63" s="76">
        <v>1333.33</v>
      </c>
      <c r="AB63" s="80">
        <v>-1333.33</v>
      </c>
      <c r="AC63" s="81">
        <v>0</v>
      </c>
      <c r="AD63" s="75"/>
      <c r="AE63" s="76">
        <v>1333.33</v>
      </c>
      <c r="AF63" s="80">
        <v>-1333.33</v>
      </c>
      <c r="AG63" s="81">
        <v>0</v>
      </c>
      <c r="AH63" s="75"/>
      <c r="AI63" s="76">
        <v>1333.33</v>
      </c>
      <c r="AJ63" s="80">
        <v>-1333.33</v>
      </c>
      <c r="AK63" s="81">
        <v>0</v>
      </c>
      <c r="AL63" s="75"/>
      <c r="AM63" s="76">
        <v>1333.33</v>
      </c>
      <c r="AN63" s="80">
        <v>-1333.33</v>
      </c>
      <c r="AO63" s="81">
        <v>0</v>
      </c>
      <c r="AP63" s="75"/>
      <c r="AQ63" s="76">
        <v>1333.33</v>
      </c>
      <c r="AR63" s="80">
        <v>-1333.33</v>
      </c>
      <c r="AS63" s="81">
        <v>0</v>
      </c>
      <c r="AT63" s="75"/>
      <c r="AU63" s="76">
        <v>1333.37</v>
      </c>
      <c r="AV63" s="80">
        <v>-1333.37</v>
      </c>
      <c r="AW63" s="81">
        <v>0</v>
      </c>
      <c r="AX63" s="75"/>
      <c r="AY63" s="76">
        <f>C63+G63+K63+O63+S63+W63+AA63+AE63+AI63+AM63+AQ63+AU63</f>
        <v>16000.0</v>
      </c>
      <c r="AZ63" s="80">
        <f>D63+H63+L63+P63+T63+X63+AB63+AF63+AJ63+AN63+AR63+AV63</f>
        <v>-16000.0</v>
      </c>
      <c r="BA63" s="87">
        <f>IFERROR(E63+I63+M63+Q63+U63+Y63+AC63+AG63+AK63+AO63+AS63+AW63,"")</f>
        <v>0.0</v>
      </c>
    </row>
    <row r="64" spans="1:53" ht="16" outlineLevel="1">
      <c r="A64" s="64" t="s">
        <v>61</v>
      </c>
      <c r="B64" s="77"/>
      <c r="C64" s="77">
        <f>C62+C63</f>
        <v>1333.33</v>
      </c>
      <c r="D64" s="78">
        <f>D62+D63</f>
        <v>-1333.33</v>
      </c>
      <c r="E64" s="82">
        <v>0</v>
      </c>
      <c r="F64" s="77"/>
      <c r="G64" s="77">
        <f>G62+G63</f>
        <v>1333.33</v>
      </c>
      <c r="H64" s="78">
        <f>H62+H63</f>
        <v>-1333.33</v>
      </c>
      <c r="I64" s="82">
        <v>0</v>
      </c>
      <c r="J64" s="77"/>
      <c r="K64" s="77">
        <f>K62+K63</f>
        <v>1333.33</v>
      </c>
      <c r="L64" s="78">
        <f>L62+L63</f>
        <v>-1333.33</v>
      </c>
      <c r="M64" s="82">
        <v>0</v>
      </c>
      <c r="N64" s="77"/>
      <c r="O64" s="77">
        <f>O62+O63</f>
        <v>1333.33</v>
      </c>
      <c r="P64" s="78">
        <f>P62+P63</f>
        <v>-1333.33</v>
      </c>
      <c r="Q64" s="82">
        <v>0</v>
      </c>
      <c r="R64" s="77"/>
      <c r="S64" s="77">
        <f>S62+S63</f>
        <v>1333.33</v>
      </c>
      <c r="T64" s="78">
        <f>T62+T63</f>
        <v>-1333.33</v>
      </c>
      <c r="U64" s="82">
        <v>0</v>
      </c>
      <c r="V64" s="77"/>
      <c r="W64" s="77">
        <f>W62+W63</f>
        <v>1333.33</v>
      </c>
      <c r="X64" s="78">
        <f>X62+X63</f>
        <v>-1333.33</v>
      </c>
      <c r="Y64" s="82">
        <v>0</v>
      </c>
      <c r="Z64" s="77"/>
      <c r="AA64" s="77">
        <f>AA62+AA63</f>
        <v>1333.33</v>
      </c>
      <c r="AB64" s="78">
        <f>AB62+AB63</f>
        <v>-1333.33</v>
      </c>
      <c r="AC64" s="82">
        <v>0</v>
      </c>
      <c r="AD64" s="77"/>
      <c r="AE64" s="77">
        <f>AE62+AE63</f>
        <v>1333.33</v>
      </c>
      <c r="AF64" s="78">
        <f>AF62+AF63</f>
        <v>-1333.33</v>
      </c>
      <c r="AG64" s="82">
        <v>0</v>
      </c>
      <c r="AH64" s="77"/>
      <c r="AI64" s="77">
        <f>AI62+AI63</f>
        <v>1333.33</v>
      </c>
      <c r="AJ64" s="78">
        <f>AJ62+AJ63</f>
        <v>-1333.33</v>
      </c>
      <c r="AK64" s="82">
        <v>0</v>
      </c>
      <c r="AL64" s="77"/>
      <c r="AM64" s="77">
        <f>AM62+AM63</f>
        <v>1333.33</v>
      </c>
      <c r="AN64" s="78">
        <f>AN62+AN63</f>
        <v>-1333.33</v>
      </c>
      <c r="AO64" s="82">
        <v>0</v>
      </c>
      <c r="AP64" s="77"/>
      <c r="AQ64" s="77">
        <f>AQ62+AQ63</f>
        <v>1333.33</v>
      </c>
      <c r="AR64" s="78">
        <f>AR62+AR63</f>
        <v>-1333.33</v>
      </c>
      <c r="AS64" s="82">
        <v>0</v>
      </c>
      <c r="AT64" s="77"/>
      <c r="AU64" s="77">
        <f>AU62+AU63</f>
        <v>1333.37</v>
      </c>
      <c r="AV64" s="78">
        <f>AV62+AV63</f>
        <v>-1333.37</v>
      </c>
      <c r="AW64" s="82">
        <v>0</v>
      </c>
      <c r="AX64" s="77"/>
      <c r="AY64" s="85">
        <f>C64+G64+K64+O64+S64+W64+AA64+AE64+AI64+AM64+AQ64+AU64</f>
        <v>16000.0</v>
      </c>
      <c r="AZ64" s="86">
        <f>D64+H64+L64+P64+T64+X64+AB64+AF64+AJ64+AN64+AR64+AV64</f>
        <v>-16000.0</v>
      </c>
      <c r="BA64" s="89">
        <f>IFERROR(E64+I64+M64+Q64+U64+Y64+AC64+AG64+AK64+AO64+AS64+AW64,"")</f>
        <v>0.0</v>
      </c>
    </row>
    <row r="65" spans="1:53" ht="16" outlineLevel="1">
      <c r="A65" s="62" t="s">
        <v>62</v>
      </c>
      <c r="B65" s="75"/>
      <c r="C65" s="76">
        <v>41.67</v>
      </c>
      <c r="D65" s="80">
        <v>-41.67</v>
      </c>
      <c r="E65" s="81">
        <v>0</v>
      </c>
      <c r="F65" s="75"/>
      <c r="G65" s="76">
        <v>41.67</v>
      </c>
      <c r="H65" s="80">
        <v>-41.67</v>
      </c>
      <c r="I65" s="81">
        <v>0</v>
      </c>
      <c r="J65" s="75"/>
      <c r="K65" s="76">
        <v>41.67</v>
      </c>
      <c r="L65" s="80">
        <v>-41.67</v>
      </c>
      <c r="M65" s="81">
        <v>0</v>
      </c>
      <c r="N65" s="75"/>
      <c r="O65" s="76">
        <v>41.67</v>
      </c>
      <c r="P65" s="80">
        <v>-41.67</v>
      </c>
      <c r="Q65" s="81">
        <v>0</v>
      </c>
      <c r="R65" s="75"/>
      <c r="S65" s="76">
        <v>41.67</v>
      </c>
      <c r="T65" s="80">
        <v>-41.67</v>
      </c>
      <c r="U65" s="81">
        <v>0</v>
      </c>
      <c r="V65" s="75"/>
      <c r="W65" s="76">
        <v>41.67</v>
      </c>
      <c r="X65" s="80">
        <v>-41.67</v>
      </c>
      <c r="Y65" s="81">
        <v>0</v>
      </c>
      <c r="Z65" s="75"/>
      <c r="AA65" s="76">
        <v>41.67</v>
      </c>
      <c r="AB65" s="80">
        <v>-41.67</v>
      </c>
      <c r="AC65" s="81">
        <v>0</v>
      </c>
      <c r="AD65" s="75"/>
      <c r="AE65" s="76">
        <v>41.67</v>
      </c>
      <c r="AF65" s="80">
        <v>-41.67</v>
      </c>
      <c r="AG65" s="81">
        <v>0</v>
      </c>
      <c r="AH65" s="75"/>
      <c r="AI65" s="76">
        <v>41.67</v>
      </c>
      <c r="AJ65" s="80">
        <v>-41.67</v>
      </c>
      <c r="AK65" s="81">
        <v>0</v>
      </c>
      <c r="AL65" s="75"/>
      <c r="AM65" s="76">
        <v>41.67</v>
      </c>
      <c r="AN65" s="80">
        <v>-41.67</v>
      </c>
      <c r="AO65" s="81">
        <v>0</v>
      </c>
      <c r="AP65" s="75"/>
      <c r="AQ65" s="76">
        <v>41.67</v>
      </c>
      <c r="AR65" s="80">
        <v>-41.67</v>
      </c>
      <c r="AS65" s="81">
        <v>0</v>
      </c>
      <c r="AT65" s="75"/>
      <c r="AU65" s="76">
        <v>41.63</v>
      </c>
      <c r="AV65" s="80">
        <v>-41.63</v>
      </c>
      <c r="AW65" s="81">
        <v>0</v>
      </c>
      <c r="AX65" s="75"/>
      <c r="AY65" s="76">
        <f>C65+G65+K65+O65+S65+W65+AA65+AE65+AI65+AM65+AQ65+AU65</f>
        <v>500.0000000000001</v>
      </c>
      <c r="AZ65" s="80">
        <f>D65+H65+L65+P65+T65+X65+AB65+AF65+AJ65+AN65+AR65+AV65</f>
        <v>-500.0000000000001</v>
      </c>
      <c r="BA65" s="87">
        <f>IFERROR(E65+I65+M65+Q65+U65+Y65+AC65+AG65+AK65+AO65+AS65+AW65,"")</f>
        <v>0.0</v>
      </c>
    </row>
    <row r="66" spans="1:53" ht="16">
      <c r="A66" s="65" t="s">
        <v>63</v>
      </c>
      <c r="B66" s="77">
        <f>B20+B26+B29+B32+B37+B47+B48+B56+B60+B61+B64+B65</f>
        <v>62098.42999999999</v>
      </c>
      <c r="C66" s="77">
        <f>C20+C26+C29+C32+C37+C47+C48+C56+C60+C61+C64+C65</f>
        <v>47691.67999999999</v>
      </c>
      <c r="D66" s="77">
        <f>D20+D26+D29+D32+D37+D47+D48+D56+D60+D61+D64+D65</f>
        <v>14406.75</v>
      </c>
      <c r="E66" s="82">
        <v>1.3021</v>
      </c>
      <c r="F66" s="77">
        <f>F20+F26+F29+F32+F37+F47+F48+F56+F60+F61+F64+F65</f>
        <v>49337.18</v>
      </c>
      <c r="G66" s="77">
        <f>G20+G26+G29+G32+G37+G47+G48+G56+G60+G61+G64+G65</f>
        <v>47691.67999999999</v>
      </c>
      <c r="H66" s="77">
        <f>H20+H26+H29+H32+H37+H47+H48+H56+H60+H61+H64+H65</f>
        <v>1645.5000000000073</v>
      </c>
      <c r="I66" s="82">
        <v>1.0345</v>
      </c>
      <c r="J66" s="77"/>
      <c r="K66" s="77">
        <f>K20+K26+K29+K32+K37+K47+K48+K56+K60+K61+K64+K65</f>
        <v>47691.67999999999</v>
      </c>
      <c r="L66" s="78">
        <f>L20+L26+L29+L32+L37+L47+L48+L56+L60+L61+L64+L65</f>
        <v>-47691.67999999999</v>
      </c>
      <c r="M66" s="82">
        <v>0</v>
      </c>
      <c r="N66" s="77"/>
      <c r="O66" s="77">
        <f>O20+O26+O29+O32+O37+O47+O48+O56+O60+O61+O64+O65</f>
        <v>47691.67999999999</v>
      </c>
      <c r="P66" s="78">
        <f>P20+P26+P29+P32+P37+P47+P48+P56+P60+P61+P64+P65</f>
        <v>-47691.67999999999</v>
      </c>
      <c r="Q66" s="82">
        <v>0</v>
      </c>
      <c r="R66" s="77"/>
      <c r="S66" s="77">
        <f>S20+S26+S29+S32+S37+S47+S48+S56+S60+S61+S64+S65</f>
        <v>47691.67999999999</v>
      </c>
      <c r="T66" s="78">
        <f>T20+T26+T29+T32+T37+T47+T48+T56+T60+T61+T64+T65</f>
        <v>-47691.67999999999</v>
      </c>
      <c r="U66" s="82">
        <v>0</v>
      </c>
      <c r="V66" s="77"/>
      <c r="W66" s="77">
        <f>W20+W26+W29+W32+W37+W47+W48+W56+W60+W61+W64+W65</f>
        <v>47691.67999999999</v>
      </c>
      <c r="X66" s="78">
        <f>X20+X26+X29+X32+X37+X47+X48+X56+X60+X61+X64+X65</f>
        <v>-47691.67999999999</v>
      </c>
      <c r="Y66" s="82">
        <v>0</v>
      </c>
      <c r="Z66" s="77"/>
      <c r="AA66" s="77">
        <f>AA20+AA26+AA29+AA32+AA37+AA47+AA48+AA56+AA60+AA61+AA64+AA65</f>
        <v>47691.67999999999</v>
      </c>
      <c r="AB66" s="78">
        <f>AB20+AB26+AB29+AB32+AB37+AB47+AB48+AB56+AB60+AB61+AB64+AB65</f>
        <v>-47691.67999999999</v>
      </c>
      <c r="AC66" s="82">
        <v>0</v>
      </c>
      <c r="AD66" s="77"/>
      <c r="AE66" s="77">
        <f>AE20+AE26+AE29+AE32+AE37+AE47+AE48+AE56+AE60+AE61+AE64+AE65</f>
        <v>47691.67999999999</v>
      </c>
      <c r="AF66" s="78">
        <f>AF20+AF26+AF29+AF32+AF37+AF47+AF48+AF56+AF60+AF61+AF64+AF65</f>
        <v>-47691.67999999999</v>
      </c>
      <c r="AG66" s="82">
        <v>0</v>
      </c>
      <c r="AH66" s="77"/>
      <c r="AI66" s="77">
        <f>AI20+AI26+AI29+AI32+AI37+AI47+AI48+AI56+AI60+AI61+AI64+AI65</f>
        <v>47691.67999999999</v>
      </c>
      <c r="AJ66" s="78">
        <f>AJ20+AJ26+AJ29+AJ32+AJ37+AJ47+AJ48+AJ56+AJ60+AJ61+AJ64+AJ65</f>
        <v>-47691.67999999999</v>
      </c>
      <c r="AK66" s="82">
        <v>0</v>
      </c>
      <c r="AL66" s="77"/>
      <c r="AM66" s="77">
        <f>AM20+AM26+AM29+AM32+AM37+AM47+AM48+AM56+AM60+AM61+AM64+AM65</f>
        <v>47691.67999999999</v>
      </c>
      <c r="AN66" s="78">
        <f>AN20+AN26+AN29+AN32+AN37+AN47+AN48+AN56+AN60+AN61+AN64+AN65</f>
        <v>-47691.67999999999</v>
      </c>
      <c r="AO66" s="82">
        <v>0</v>
      </c>
      <c r="AP66" s="77"/>
      <c r="AQ66" s="77">
        <f>AQ20+AQ26+AQ29+AQ32+AQ37+AQ47+AQ48+AQ56+AQ60+AQ61+AQ64+AQ65</f>
        <v>47691.67999999999</v>
      </c>
      <c r="AR66" s="78">
        <f>AR20+AR26+AR29+AR32+AR37+AR47+AR48+AR56+AR60+AR61+AR64+AR65</f>
        <v>-47691.67999999999</v>
      </c>
      <c r="AS66" s="82">
        <v>0</v>
      </c>
      <c r="AT66" s="77"/>
      <c r="AU66" s="77">
        <f>AU20+AU26+AU29+AU32+AU37+AU47+AU48+AU56+AU60+AU61+AU64+AU65</f>
        <v>47691.52</v>
      </c>
      <c r="AV66" s="78">
        <f>AV20+AV26+AV29+AV32+AV37+AV47+AV48+AV56+AV60+AV61+AV64+AV65</f>
        <v>-47691.52</v>
      </c>
      <c r="AW66" s="82">
        <v>0</v>
      </c>
      <c r="AX66" s="85">
        <f>B66+F66+J66+N66+R66+V66+Z66+AD66+AH66+AL66+AP66+AT66</f>
        <v>111435.60999999999</v>
      </c>
      <c r="AY66" s="85">
        <f>C66+G66+K66+O66+S66+W66+AA66+AE66+AI66+AM66+AQ66+AU66</f>
        <v>572300.0</v>
      </c>
      <c r="AZ66" s="86">
        <f>D66+H66+L66+P66+T66+X66+AB66+AF66+AJ66+AN66+AR66+AV66</f>
        <v>-460864.38999999996</v>
      </c>
      <c r="BA66" s="88">
        <v>0.19469999999999998</v>
      </c>
    </row>
    <row r="67" spans="1:53" ht="16">
      <c r="A67" s="65" t="s">
        <v>64</v>
      </c>
      <c r="B67" s="77">
        <f>B16-B66</f>
        <v>18710.570000000007</v>
      </c>
      <c r="C67" s="77">
        <f>C16-C66</f>
        <v>41683.32000000001</v>
      </c>
      <c r="D67" s="78">
        <f>D16-D66</f>
        <v>-22972.75</v>
      </c>
      <c r="E67" s="82">
        <v>0.4489</v>
      </c>
      <c r="F67" s="77">
        <f>F16-F66</f>
        <v>127.81999999999971</v>
      </c>
      <c r="G67" s="77">
        <f>G16-G66</f>
        <v>41683.32000000001</v>
      </c>
      <c r="H67" s="78">
        <f>H16-H66</f>
        <v>-41555.50000000001</v>
      </c>
      <c r="I67" s="82">
        <v>0.0031</v>
      </c>
      <c r="J67" s="77"/>
      <c r="K67" s="77">
        <f>K16-K66</f>
        <v>41683.32000000001</v>
      </c>
      <c r="L67" s="78">
        <f>L16-L66</f>
        <v>-41683.32000000001</v>
      </c>
      <c r="M67" s="82">
        <v>0</v>
      </c>
      <c r="N67" s="77"/>
      <c r="O67" s="77">
        <f>O16-O66</f>
        <v>41683.32000000001</v>
      </c>
      <c r="P67" s="78">
        <f>P16-P66</f>
        <v>-41683.32000000001</v>
      </c>
      <c r="Q67" s="82">
        <v>0</v>
      </c>
      <c r="R67" s="77"/>
      <c r="S67" s="77">
        <f>S16-S66</f>
        <v>41683.32000000001</v>
      </c>
      <c r="T67" s="78">
        <f>T16-T66</f>
        <v>-41683.32000000001</v>
      </c>
      <c r="U67" s="82">
        <v>0</v>
      </c>
      <c r="V67" s="77"/>
      <c r="W67" s="77">
        <f>W16-W66</f>
        <v>41683.32000000001</v>
      </c>
      <c r="X67" s="78">
        <f>X16-X66</f>
        <v>-41683.32000000001</v>
      </c>
      <c r="Y67" s="82">
        <v>0</v>
      </c>
      <c r="Z67" s="77"/>
      <c r="AA67" s="77">
        <f>AA16-AA66</f>
        <v>41683.32000000001</v>
      </c>
      <c r="AB67" s="78">
        <f>AB16-AB66</f>
        <v>-41683.32000000001</v>
      </c>
      <c r="AC67" s="82">
        <v>0</v>
      </c>
      <c r="AD67" s="77"/>
      <c r="AE67" s="77">
        <f>AE16-AE66</f>
        <v>41683.32000000001</v>
      </c>
      <c r="AF67" s="78">
        <f>AF16-AF66</f>
        <v>-41683.32000000001</v>
      </c>
      <c r="AG67" s="82">
        <v>0</v>
      </c>
      <c r="AH67" s="77"/>
      <c r="AI67" s="77">
        <f>AI16-AI66</f>
        <v>41683.32000000001</v>
      </c>
      <c r="AJ67" s="78">
        <f>AJ16-AJ66</f>
        <v>-41683.32000000001</v>
      </c>
      <c r="AK67" s="82">
        <v>0</v>
      </c>
      <c r="AL67" s="77"/>
      <c r="AM67" s="77">
        <f>AM16-AM66</f>
        <v>41683.32000000001</v>
      </c>
      <c r="AN67" s="78">
        <f>AN16-AN66</f>
        <v>-41683.32000000001</v>
      </c>
      <c r="AO67" s="82">
        <v>0</v>
      </c>
      <c r="AP67" s="77"/>
      <c r="AQ67" s="77">
        <f>AQ16-AQ66</f>
        <v>41683.32000000001</v>
      </c>
      <c r="AR67" s="78">
        <f>AR16-AR66</f>
        <v>-41683.32000000001</v>
      </c>
      <c r="AS67" s="82">
        <v>0</v>
      </c>
      <c r="AT67" s="77"/>
      <c r="AU67" s="77">
        <f>AU16-AU66</f>
        <v>41683.48</v>
      </c>
      <c r="AV67" s="78">
        <f>AV16-AV66</f>
        <v>-41683.48</v>
      </c>
      <c r="AW67" s="82">
        <v>0</v>
      </c>
      <c r="AX67" s="85">
        <f>B67+F67+J67+N67+R67+V67+Z67+AD67+AH67+AL67+AP67+AT67</f>
        <v>18838.390000000007</v>
      </c>
      <c r="AY67" s="85">
        <f>C67+G67+K67+O67+S67+W67+AA67+AE67+AI67+AM67+AQ67+AU67</f>
        <v>500200.00000000006</v>
      </c>
      <c r="AZ67" s="86">
        <f>D67+H67+L67+P67+T67+X67+AB67+AF67+AJ67+AN67+AR67+AV67</f>
        <v>-481361.61000000004</v>
      </c>
      <c r="BA67" s="82">
        <v>0.0377</v>
      </c>
    </row>
    <row r="68" spans="1:53" ht="16">
      <c r="A68" s="61" t="s">
        <v>65</v>
      </c>
      <c r="B68" s="75"/>
      <c r="C68" s="75"/>
      <c r="D68" s="75"/>
      <c r="E68" s="75" t="s">
        <v>3</v>
      </c>
      <c r="F68" s="75"/>
      <c r="G68" s="75"/>
      <c r="H68" s="75"/>
      <c r="I68" s="75" t="s">
        <v>3</v>
      </c>
      <c r="J68" s="75"/>
      <c r="K68" s="75"/>
      <c r="L68" s="75"/>
      <c r="M68" s="75" t="s">
        <v>3</v>
      </c>
      <c r="N68" s="75"/>
      <c r="O68" s="75"/>
      <c r="P68" s="75"/>
      <c r="Q68" s="75" t="s">
        <v>3</v>
      </c>
      <c r="R68" s="75"/>
      <c r="S68" s="75"/>
      <c r="T68" s="75"/>
      <c r="U68" s="75" t="s">
        <v>3</v>
      </c>
      <c r="V68" s="75"/>
      <c r="W68" s="75"/>
      <c r="X68" s="75"/>
      <c r="Y68" s="75" t="s">
        <v>3</v>
      </c>
      <c r="Z68" s="75"/>
      <c r="AA68" s="75"/>
      <c r="AB68" s="75"/>
      <c r="AC68" s="75" t="s">
        <v>3</v>
      </c>
      <c r="AD68" s="75"/>
      <c r="AE68" s="75"/>
      <c r="AF68" s="75"/>
      <c r="AG68" s="75" t="s">
        <v>3</v>
      </c>
      <c r="AH68" s="75"/>
      <c r="AI68" s="75"/>
      <c r="AJ68" s="75"/>
      <c r="AK68" s="75" t="s">
        <v>3</v>
      </c>
      <c r="AL68" s="75"/>
      <c r="AM68" s="75"/>
      <c r="AN68" s="75"/>
      <c r="AO68" s="75" t="s">
        <v>3</v>
      </c>
      <c r="AP68" s="75"/>
      <c r="AQ68" s="75"/>
      <c r="AR68" s="75"/>
      <c r="AS68" s="75" t="s">
        <v>3</v>
      </c>
      <c r="AT68" s="75"/>
      <c r="AU68" s="75"/>
      <c r="AV68" s="75"/>
      <c r="AW68" s="75" t="s">
        <v>3</v>
      </c>
      <c r="AX68" s="75"/>
      <c r="AY68" s="75"/>
      <c r="AZ68" s="75"/>
      <c r="BA68" s="75" t="s">
        <v>3</v>
      </c>
    </row>
    <row r="69" spans="1:49" ht="16">
      <c r="A69" s="61" t="s">
        <v>66</v>
      </c>
      <c r="B69" s="75"/>
      <c r="C69" s="75"/>
      <c r="D69" s="75"/>
      <c r="E69" s="75" t="s">
        <v>3</v>
      </c>
      <c r="F69" s="75"/>
      <c r="G69" s="75"/>
      <c r="H69" s="75"/>
      <c r="I69" s="75" t="s">
        <v>3</v>
      </c>
      <c r="J69" s="75"/>
      <c r="K69" s="75"/>
      <c r="L69" s="75"/>
      <c r="M69" s="75" t="s">
        <v>3</v>
      </c>
      <c r="N69" s="75"/>
      <c r="O69" s="75"/>
      <c r="P69" s="75"/>
      <c r="Q69" s="75" t="s">
        <v>3</v>
      </c>
      <c r="R69" s="75"/>
      <c r="S69" s="75"/>
      <c r="T69" s="75"/>
      <c r="U69" s="75" t="s">
        <v>3</v>
      </c>
      <c r="V69" s="75"/>
      <c r="W69" s="75"/>
      <c r="X69" s="75"/>
      <c r="Y69" s="75" t="s">
        <v>3</v>
      </c>
      <c r="Z69" s="75"/>
      <c r="AA69" s="75"/>
      <c r="AB69" s="75"/>
      <c r="AC69" s="75" t="s">
        <v>3</v>
      </c>
      <c r="AD69" s="75"/>
      <c r="AE69" s="75"/>
      <c r="AF69" s="75"/>
      <c r="AG69" s="75" t="s">
        <v>3</v>
      </c>
      <c r="AH69" s="75"/>
      <c r="AI69" s="75"/>
      <c r="AJ69" s="75"/>
      <c r="AK69" s="75" t="s">
        <v>3</v>
      </c>
      <c r="AL69" s="75"/>
      <c r="AM69" s="75"/>
      <c r="AN69" s="75"/>
      <c r="AO69" s="75" t="s">
        <v>3</v>
      </c>
      <c r="AP69" s="75"/>
      <c r="AQ69" s="75"/>
      <c r="AR69" s="75"/>
      <c r="AS69" s="75" t="s">
        <v>3</v>
      </c>
      <c r="AT69" s="75"/>
      <c r="AU69" s="75"/>
      <c r="AV69" s="75"/>
      <c r="AW69" s="75" t="s">
        <v>3</v>
      </c>
    </row>
    <row r="70" spans="1:53" ht="16" outlineLevel="1">
      <c r="A70" s="62" t="s">
        <v>67</v>
      </c>
      <c r="B70" s="76">
        <v>806.74</v>
      </c>
      <c r="C70" s="76">
        <v>891.67</v>
      </c>
      <c r="D70" s="80">
        <v>-84.92999999999995</v>
      </c>
      <c r="E70" s="81">
        <v>0.9048</v>
      </c>
      <c r="F70" s="75"/>
      <c r="G70" s="76">
        <v>891.67</v>
      </c>
      <c r="H70" s="80">
        <v>-891.67</v>
      </c>
      <c r="I70" s="81">
        <v>0</v>
      </c>
      <c r="J70" s="75"/>
      <c r="K70" s="76">
        <v>891.67</v>
      </c>
      <c r="L70" s="80">
        <v>-891.67</v>
      </c>
      <c r="M70" s="81">
        <v>0</v>
      </c>
      <c r="N70" s="75"/>
      <c r="O70" s="76">
        <v>891.67</v>
      </c>
      <c r="P70" s="80">
        <v>-891.67</v>
      </c>
      <c r="Q70" s="81">
        <v>0</v>
      </c>
      <c r="R70" s="75"/>
      <c r="S70" s="76">
        <v>891.67</v>
      </c>
      <c r="T70" s="80">
        <v>-891.67</v>
      </c>
      <c r="U70" s="81">
        <v>0</v>
      </c>
      <c r="V70" s="75"/>
      <c r="W70" s="76">
        <v>891.67</v>
      </c>
      <c r="X70" s="80">
        <v>-891.67</v>
      </c>
      <c r="Y70" s="81">
        <v>0</v>
      </c>
      <c r="Z70" s="75"/>
      <c r="AA70" s="76">
        <v>891.67</v>
      </c>
      <c r="AB70" s="80">
        <v>-891.67</v>
      </c>
      <c r="AC70" s="81">
        <v>0</v>
      </c>
      <c r="AD70" s="75"/>
      <c r="AE70" s="76">
        <v>891.67</v>
      </c>
      <c r="AF70" s="80">
        <v>-891.67</v>
      </c>
      <c r="AG70" s="81">
        <v>0</v>
      </c>
      <c r="AH70" s="75"/>
      <c r="AI70" s="76">
        <v>891.67</v>
      </c>
      <c r="AJ70" s="80">
        <v>-891.67</v>
      </c>
      <c r="AK70" s="81">
        <v>0</v>
      </c>
      <c r="AL70" s="75"/>
      <c r="AM70" s="76">
        <v>891.67</v>
      </c>
      <c r="AN70" s="80">
        <v>-891.67</v>
      </c>
      <c r="AO70" s="81">
        <v>0</v>
      </c>
      <c r="AP70" s="75"/>
      <c r="AQ70" s="76">
        <v>891.67</v>
      </c>
      <c r="AR70" s="80">
        <v>-891.67</v>
      </c>
      <c r="AS70" s="81">
        <v>0</v>
      </c>
      <c r="AT70" s="75"/>
      <c r="AU70" s="76">
        <v>891.63</v>
      </c>
      <c r="AV70" s="80">
        <v>-891.63</v>
      </c>
      <c r="AW70" s="81">
        <v>0</v>
      </c>
      <c r="AX70" s="76">
        <f>B70+F70+J70+N70+R70+V70+Z70+AD70+AH70+AL70+AP70+AT70</f>
        <v>806.74</v>
      </c>
      <c r="AY70" s="76">
        <f>C70+G70+K70+O70+S70+W70+AA70+AE70+AI70+AM70+AQ70+AU70</f>
        <v>10699.999999999998</v>
      </c>
      <c r="AZ70" s="80">
        <f>D70+H70+L70+P70+T70+X70+AB70+AF70+AJ70+AN70+AR70+AV70</f>
        <v>-9893.259999999998</v>
      </c>
      <c r="BA70" s="81">
        <v>0.0754</v>
      </c>
    </row>
    <row r="71" spans="1:53" ht="16" outlineLevel="1">
      <c r="A71" s="62" t="s">
        <v>68</v>
      </c>
      <c r="B71" s="76">
        <v>1881.84</v>
      </c>
      <c r="C71" s="76">
        <v>4479.17</v>
      </c>
      <c r="D71" s="80">
        <v>-2597.33</v>
      </c>
      <c r="E71" s="81">
        <v>0.4201</v>
      </c>
      <c r="F71" s="75"/>
      <c r="G71" s="76">
        <v>4479.17</v>
      </c>
      <c r="H71" s="80">
        <v>-4479.17</v>
      </c>
      <c r="I71" s="81">
        <v>0</v>
      </c>
      <c r="J71" s="75"/>
      <c r="K71" s="76">
        <v>4479.17</v>
      </c>
      <c r="L71" s="80">
        <v>-4479.17</v>
      </c>
      <c r="M71" s="81">
        <v>0</v>
      </c>
      <c r="N71" s="75"/>
      <c r="O71" s="76">
        <v>4479.17</v>
      </c>
      <c r="P71" s="80">
        <v>-4479.17</v>
      </c>
      <c r="Q71" s="81">
        <v>0</v>
      </c>
      <c r="R71" s="75"/>
      <c r="S71" s="76">
        <v>4479.17</v>
      </c>
      <c r="T71" s="80">
        <v>-4479.17</v>
      </c>
      <c r="U71" s="81">
        <v>0</v>
      </c>
      <c r="V71" s="75"/>
      <c r="W71" s="76">
        <v>4479.17</v>
      </c>
      <c r="X71" s="80">
        <v>-4479.17</v>
      </c>
      <c r="Y71" s="81">
        <v>0</v>
      </c>
      <c r="Z71" s="75"/>
      <c r="AA71" s="76">
        <v>4479.17</v>
      </c>
      <c r="AB71" s="80">
        <v>-4479.17</v>
      </c>
      <c r="AC71" s="81">
        <v>0</v>
      </c>
      <c r="AD71" s="75"/>
      <c r="AE71" s="76">
        <v>4479.17</v>
      </c>
      <c r="AF71" s="80">
        <v>-4479.17</v>
      </c>
      <c r="AG71" s="81">
        <v>0</v>
      </c>
      <c r="AH71" s="75"/>
      <c r="AI71" s="76">
        <v>4479.17</v>
      </c>
      <c r="AJ71" s="80">
        <v>-4479.17</v>
      </c>
      <c r="AK71" s="81">
        <v>0</v>
      </c>
      <c r="AL71" s="75"/>
      <c r="AM71" s="76">
        <v>4479.17</v>
      </c>
      <c r="AN71" s="80">
        <v>-4479.17</v>
      </c>
      <c r="AO71" s="81">
        <v>0</v>
      </c>
      <c r="AP71" s="75"/>
      <c r="AQ71" s="76">
        <v>4479.17</v>
      </c>
      <c r="AR71" s="80">
        <v>-4479.17</v>
      </c>
      <c r="AS71" s="81">
        <v>0</v>
      </c>
      <c r="AT71" s="75"/>
      <c r="AU71" s="76">
        <v>4479.13</v>
      </c>
      <c r="AV71" s="80">
        <v>-4479.13</v>
      </c>
      <c r="AW71" s="81">
        <v>0</v>
      </c>
      <c r="AX71" s="76">
        <f>B71+F71+J71+N71+R71+V71+Z71+AD71+AH71+AL71+AP71+AT71</f>
        <v>1881.84</v>
      </c>
      <c r="AY71" s="76">
        <f>C71+G71+K71+O71+S71+W71+AA71+AE71+AI71+AM71+AQ71+AU71</f>
        <v>53749.999999999985</v>
      </c>
      <c r="AZ71" s="80">
        <f>D71+H71+L71+P71+T71+X71+AB71+AF71+AJ71+AN71+AR71+AV71</f>
        <v>-51868.15999999999</v>
      </c>
      <c r="BA71" s="81">
        <v>0.035</v>
      </c>
    </row>
    <row r="72" spans="1:53" ht="16" outlineLevel="1">
      <c r="A72" s="62" t="s">
        <v>69</v>
      </c>
      <c r="B72" s="76">
        <v>14316.97</v>
      </c>
      <c r="C72" s="75"/>
      <c r="D72" s="76">
        <v>14316.97</v>
      </c>
      <c r="E72" s="75" t="s">
        <v>3</v>
      </c>
      <c r="F72" s="75"/>
      <c r="G72" s="75"/>
      <c r="H72" s="75"/>
      <c r="I72" s="75" t="s">
        <v>3</v>
      </c>
      <c r="J72" s="75"/>
      <c r="K72" s="75"/>
      <c r="L72" s="75"/>
      <c r="M72" s="75" t="s">
        <v>3</v>
      </c>
      <c r="N72" s="75"/>
      <c r="O72" s="75"/>
      <c r="P72" s="75"/>
      <c r="Q72" s="75" t="s">
        <v>3</v>
      </c>
      <c r="R72" s="75"/>
      <c r="S72" s="75"/>
      <c r="T72" s="75"/>
      <c r="U72" s="75" t="s">
        <v>3</v>
      </c>
      <c r="V72" s="75"/>
      <c r="W72" s="75"/>
      <c r="X72" s="75"/>
      <c r="Y72" s="75" t="s">
        <v>3</v>
      </c>
      <c r="Z72" s="75"/>
      <c r="AA72" s="75"/>
      <c r="AB72" s="75"/>
      <c r="AC72" s="75" t="s">
        <v>3</v>
      </c>
      <c r="AD72" s="75"/>
      <c r="AE72" s="75"/>
      <c r="AF72" s="75"/>
      <c r="AG72" s="75" t="s">
        <v>3</v>
      </c>
      <c r="AH72" s="75"/>
      <c r="AI72" s="75"/>
      <c r="AJ72" s="75"/>
      <c r="AK72" s="75" t="s">
        <v>3</v>
      </c>
      <c r="AL72" s="75"/>
      <c r="AM72" s="75"/>
      <c r="AN72" s="75"/>
      <c r="AO72" s="75" t="s">
        <v>3</v>
      </c>
      <c r="AP72" s="75"/>
      <c r="AQ72" s="75"/>
      <c r="AR72" s="75"/>
      <c r="AS72" s="75" t="s">
        <v>3</v>
      </c>
      <c r="AT72" s="75"/>
      <c r="AU72" s="75"/>
      <c r="AV72" s="75"/>
      <c r="AW72" s="75" t="s">
        <v>3</v>
      </c>
      <c r="AX72" s="76">
        <f>B72+F72+J72+N72+R72+V72+Z72+AD72+AH72+AL72+AP72+AT72</f>
        <v>14316.97</v>
      </c>
      <c r="AY72" s="75"/>
      <c r="AZ72" s="76">
        <f>D72+H72+L72+P72+T72+X72+AB72+AF72+AJ72+AN72+AR72+AV72</f>
        <v>14316.97</v>
      </c>
      <c r="BA72" s="75" t="s">
        <v>3</v>
      </c>
    </row>
    <row r="73" spans="1:53" ht="16" outlineLevel="1">
      <c r="A73" s="62" t="s">
        <v>70</v>
      </c>
      <c r="B73" s="76">
        <v>4416.2</v>
      </c>
      <c r="C73" s="75"/>
      <c r="D73" s="76">
        <v>4416.2</v>
      </c>
      <c r="E73" s="75" t="s">
        <v>3</v>
      </c>
      <c r="F73" s="75"/>
      <c r="G73" s="75"/>
      <c r="H73" s="75"/>
      <c r="I73" s="75" t="s">
        <v>3</v>
      </c>
      <c r="J73" s="75"/>
      <c r="K73" s="75"/>
      <c r="L73" s="75"/>
      <c r="M73" s="75" t="s">
        <v>3</v>
      </c>
      <c r="N73" s="75"/>
      <c r="O73" s="75"/>
      <c r="P73" s="75"/>
      <c r="Q73" s="75" t="s">
        <v>3</v>
      </c>
      <c r="R73" s="75"/>
      <c r="S73" s="75"/>
      <c r="T73" s="75"/>
      <c r="U73" s="75" t="s">
        <v>3</v>
      </c>
      <c r="V73" s="75"/>
      <c r="W73" s="75"/>
      <c r="X73" s="75"/>
      <c r="Y73" s="75" t="s">
        <v>3</v>
      </c>
      <c r="Z73" s="75"/>
      <c r="AA73" s="75"/>
      <c r="AB73" s="75"/>
      <c r="AC73" s="75" t="s">
        <v>3</v>
      </c>
      <c r="AD73" s="75"/>
      <c r="AE73" s="75"/>
      <c r="AF73" s="75"/>
      <c r="AG73" s="75" t="s">
        <v>3</v>
      </c>
      <c r="AH73" s="75"/>
      <c r="AI73" s="75"/>
      <c r="AJ73" s="75"/>
      <c r="AK73" s="75" t="s">
        <v>3</v>
      </c>
      <c r="AL73" s="75"/>
      <c r="AM73" s="75"/>
      <c r="AN73" s="75"/>
      <c r="AO73" s="75" t="s">
        <v>3</v>
      </c>
      <c r="AP73" s="75"/>
      <c r="AQ73" s="75"/>
      <c r="AR73" s="75"/>
      <c r="AS73" s="75" t="s">
        <v>3</v>
      </c>
      <c r="AT73" s="75"/>
      <c r="AU73" s="75"/>
      <c r="AV73" s="75"/>
      <c r="AW73" s="75" t="s">
        <v>3</v>
      </c>
      <c r="AX73" s="76">
        <f>B73+F73+J73+N73+R73+V73+Z73+AD73+AH73+AL73+AP73+AT73</f>
        <v>4416.2</v>
      </c>
      <c r="AY73" s="75"/>
      <c r="AZ73" s="76">
        <f>D73+H73+L73+P73+T73+X73+AB73+AF73+AJ73+AN73+AR73+AV73</f>
        <v>4416.2</v>
      </c>
      <c r="BA73" s="75" t="s">
        <v>3</v>
      </c>
    </row>
    <row r="74" spans="1:53" ht="16" outlineLevel="1">
      <c r="A74" s="62" t="s">
        <v>71</v>
      </c>
      <c r="B74" s="75"/>
      <c r="C74" s="76">
        <v>18611.25</v>
      </c>
      <c r="D74" s="80">
        <v>-18611.25</v>
      </c>
      <c r="E74" s="81">
        <v>0</v>
      </c>
      <c r="F74" s="75"/>
      <c r="G74" s="76">
        <v>18611.25</v>
      </c>
      <c r="H74" s="80">
        <v>-18611.25</v>
      </c>
      <c r="I74" s="81">
        <v>0</v>
      </c>
      <c r="J74" s="75"/>
      <c r="K74" s="76">
        <v>18611.25</v>
      </c>
      <c r="L74" s="80">
        <v>-18611.25</v>
      </c>
      <c r="M74" s="81">
        <v>0</v>
      </c>
      <c r="N74" s="75"/>
      <c r="O74" s="76">
        <v>18611.25</v>
      </c>
      <c r="P74" s="80">
        <v>-18611.25</v>
      </c>
      <c r="Q74" s="81">
        <v>0</v>
      </c>
      <c r="R74" s="75"/>
      <c r="S74" s="76">
        <v>18611.25</v>
      </c>
      <c r="T74" s="80">
        <v>-18611.25</v>
      </c>
      <c r="U74" s="81">
        <v>0</v>
      </c>
      <c r="V74" s="75"/>
      <c r="W74" s="76">
        <v>18611.25</v>
      </c>
      <c r="X74" s="80">
        <v>-18611.25</v>
      </c>
      <c r="Y74" s="81">
        <v>0</v>
      </c>
      <c r="Z74" s="75"/>
      <c r="AA74" s="76">
        <v>18611.25</v>
      </c>
      <c r="AB74" s="80">
        <v>-18611.25</v>
      </c>
      <c r="AC74" s="81">
        <v>0</v>
      </c>
      <c r="AD74" s="75"/>
      <c r="AE74" s="76">
        <v>18611.25</v>
      </c>
      <c r="AF74" s="80">
        <v>-18611.25</v>
      </c>
      <c r="AG74" s="81">
        <v>0</v>
      </c>
      <c r="AH74" s="75"/>
      <c r="AI74" s="76">
        <v>18611.25</v>
      </c>
      <c r="AJ74" s="80">
        <v>-18611.25</v>
      </c>
      <c r="AK74" s="81">
        <v>0</v>
      </c>
      <c r="AL74" s="75"/>
      <c r="AM74" s="76">
        <v>18611.25</v>
      </c>
      <c r="AN74" s="80">
        <v>-18611.25</v>
      </c>
      <c r="AO74" s="81">
        <v>0</v>
      </c>
      <c r="AP74" s="75"/>
      <c r="AQ74" s="76">
        <v>18611.25</v>
      </c>
      <c r="AR74" s="80">
        <v>-18611.25</v>
      </c>
      <c r="AS74" s="81">
        <v>0</v>
      </c>
      <c r="AT74" s="75"/>
      <c r="AU74" s="76">
        <v>18611.25</v>
      </c>
      <c r="AV74" s="80">
        <v>-18611.25</v>
      </c>
      <c r="AW74" s="81">
        <v>0</v>
      </c>
      <c r="AX74" s="75"/>
      <c r="AY74" s="76">
        <f>C74+G74+K74+O74+S74+W74+AA74+AE74+AI74+AM74+AQ74+AU74</f>
        <v>223335.0</v>
      </c>
      <c r="AZ74" s="80">
        <f>D74+H74+L74+P74+T74+X74+AB74+AF74+AJ74+AN74+AR74+AV74</f>
        <v>-223335.0</v>
      </c>
      <c r="BA74" s="87">
        <f>IFERROR(E74+I74+M74+Q74+U74+Y74+AC74+AG74+AK74+AO74+AS74+AW74,"")</f>
        <v>0.0</v>
      </c>
    </row>
    <row r="75" spans="1:53" ht="16">
      <c r="A75" s="65" t="s">
        <v>72</v>
      </c>
      <c r="B75" s="77">
        <f>B70+B71+B72+B73+B74</f>
        <v>21421.75</v>
      </c>
      <c r="C75" s="77">
        <f>C70+C71+C72+C73+C74</f>
        <v>23982.09</v>
      </c>
      <c r="D75" s="78">
        <f>D70+D71+D72+D73+D74</f>
        <v>-2560.34</v>
      </c>
      <c r="E75" s="82">
        <v>0.8931999999999999</v>
      </c>
      <c r="F75" s="77"/>
      <c r="G75" s="77">
        <f>G70+G71+G72+G73+G74</f>
        <v>23982.09</v>
      </c>
      <c r="H75" s="78">
        <f>H70+H71+H72+H73+H74</f>
        <v>-23982.09</v>
      </c>
      <c r="I75" s="82">
        <v>0</v>
      </c>
      <c r="J75" s="77"/>
      <c r="K75" s="77">
        <f>K70+K71+K72+K73+K74</f>
        <v>23982.09</v>
      </c>
      <c r="L75" s="78">
        <f>L70+L71+L72+L73+L74</f>
        <v>-23982.09</v>
      </c>
      <c r="M75" s="82">
        <v>0</v>
      </c>
      <c r="N75" s="77"/>
      <c r="O75" s="77">
        <f>O70+O71+O72+O73+O74</f>
        <v>23982.09</v>
      </c>
      <c r="P75" s="78">
        <f>P70+P71+P72+P73+P74</f>
        <v>-23982.09</v>
      </c>
      <c r="Q75" s="82">
        <v>0</v>
      </c>
      <c r="R75" s="77"/>
      <c r="S75" s="77">
        <f>S70+S71+S72+S73+S74</f>
        <v>23982.09</v>
      </c>
      <c r="T75" s="78">
        <f>T70+T71+T72+T73+T74</f>
        <v>-23982.09</v>
      </c>
      <c r="U75" s="82">
        <v>0</v>
      </c>
      <c r="V75" s="77"/>
      <c r="W75" s="77">
        <f>W70+W71+W72+W73+W74</f>
        <v>23982.09</v>
      </c>
      <c r="X75" s="78">
        <f>X70+X71+X72+X73+X74</f>
        <v>-23982.09</v>
      </c>
      <c r="Y75" s="82">
        <v>0</v>
      </c>
      <c r="Z75" s="77"/>
      <c r="AA75" s="77">
        <f>AA70+AA71+AA72+AA73+AA74</f>
        <v>23982.09</v>
      </c>
      <c r="AB75" s="78">
        <f>AB70+AB71+AB72+AB73+AB74</f>
        <v>-23982.09</v>
      </c>
      <c r="AC75" s="82">
        <v>0</v>
      </c>
      <c r="AD75" s="77"/>
      <c r="AE75" s="77">
        <f>AE70+AE71+AE72+AE73+AE74</f>
        <v>23982.09</v>
      </c>
      <c r="AF75" s="78">
        <f>AF70+AF71+AF72+AF73+AF74</f>
        <v>-23982.09</v>
      </c>
      <c r="AG75" s="82">
        <v>0</v>
      </c>
      <c r="AH75" s="77"/>
      <c r="AI75" s="77">
        <f>AI70+AI71+AI72+AI73+AI74</f>
        <v>23982.09</v>
      </c>
      <c r="AJ75" s="78">
        <f>AJ70+AJ71+AJ72+AJ73+AJ74</f>
        <v>-23982.09</v>
      </c>
      <c r="AK75" s="82">
        <v>0</v>
      </c>
      <c r="AL75" s="77"/>
      <c r="AM75" s="77">
        <f>AM70+AM71+AM72+AM73+AM74</f>
        <v>23982.09</v>
      </c>
      <c r="AN75" s="78">
        <f>AN70+AN71+AN72+AN73+AN74</f>
        <v>-23982.09</v>
      </c>
      <c r="AO75" s="82">
        <v>0</v>
      </c>
      <c r="AP75" s="77"/>
      <c r="AQ75" s="77">
        <f>AQ70+AQ71+AQ72+AQ73+AQ74</f>
        <v>23982.09</v>
      </c>
      <c r="AR75" s="78">
        <f>AR70+AR71+AR72+AR73+AR74</f>
        <v>-23982.09</v>
      </c>
      <c r="AS75" s="82">
        <v>0</v>
      </c>
      <c r="AT75" s="77"/>
      <c r="AU75" s="77">
        <f>AU70+AU71+AU72+AU73+AU74</f>
        <v>23982.010000000002</v>
      </c>
      <c r="AV75" s="78">
        <f>AV70+AV71+AV72+AV73+AV74</f>
        <v>-23982.010000000002</v>
      </c>
      <c r="AW75" s="82">
        <v>0</v>
      </c>
      <c r="AX75" s="85">
        <f>B75+F75+J75+N75+R75+V75+Z75+AD75+AH75+AL75+AP75+AT75</f>
        <v>21421.75</v>
      </c>
      <c r="AY75" s="85">
        <f>C75+G75+K75+O75+S75+W75+AA75+AE75+AI75+AM75+AQ75+AU75</f>
        <v>287785.0</v>
      </c>
      <c r="AZ75" s="86">
        <f>D75+H75+L75+P75+T75+X75+AB75+AF75+AJ75+AN75+AR75+AV75</f>
        <v>-266363.25</v>
      </c>
      <c r="BA75" s="88">
        <v>0.07440000000000001</v>
      </c>
    </row>
    <row r="76" spans="1:53" ht="16">
      <c r="A76" s="65" t="s">
        <v>73</v>
      </c>
      <c r="B76" s="78">
        <f>B68-B75</f>
        <v>-21421.75</v>
      </c>
      <c r="C76" s="78">
        <f>C68-C75</f>
        <v>-23982.09</v>
      </c>
      <c r="D76" s="77">
        <f>D68-D75</f>
        <v>2560.34</v>
      </c>
      <c r="E76" s="82">
        <v>0.8931999999999999</v>
      </c>
      <c r="F76" s="77"/>
      <c r="G76" s="78">
        <f>G68-G75</f>
        <v>-23982.09</v>
      </c>
      <c r="H76" s="77">
        <f>H68-H75</f>
        <v>23982.09</v>
      </c>
      <c r="I76" s="82">
        <v>0</v>
      </c>
      <c r="J76" s="77"/>
      <c r="K76" s="78">
        <f>K68-K75</f>
        <v>-23982.09</v>
      </c>
      <c r="L76" s="77">
        <f>L68-L75</f>
        <v>23982.09</v>
      </c>
      <c r="M76" s="82">
        <v>0</v>
      </c>
      <c r="N76" s="77"/>
      <c r="O76" s="78">
        <f>O68-O75</f>
        <v>-23982.09</v>
      </c>
      <c r="P76" s="77">
        <f>P68-P75</f>
        <v>23982.09</v>
      </c>
      <c r="Q76" s="82">
        <v>0</v>
      </c>
      <c r="R76" s="77"/>
      <c r="S76" s="78">
        <f>S68-S75</f>
        <v>-23982.09</v>
      </c>
      <c r="T76" s="77">
        <f>T68-T75</f>
        <v>23982.09</v>
      </c>
      <c r="U76" s="82">
        <v>0</v>
      </c>
      <c r="V76" s="77"/>
      <c r="W76" s="78">
        <f>W68-W75</f>
        <v>-23982.09</v>
      </c>
      <c r="X76" s="77">
        <f>X68-X75</f>
        <v>23982.09</v>
      </c>
      <c r="Y76" s="82">
        <v>0</v>
      </c>
      <c r="Z76" s="77"/>
      <c r="AA76" s="78">
        <f>AA68-AA75</f>
        <v>-23982.09</v>
      </c>
      <c r="AB76" s="77">
        <f>AB68-AB75</f>
        <v>23982.09</v>
      </c>
      <c r="AC76" s="82">
        <v>0</v>
      </c>
      <c r="AD76" s="77"/>
      <c r="AE76" s="78">
        <f>AE68-AE75</f>
        <v>-23982.09</v>
      </c>
      <c r="AF76" s="77">
        <f>AF68-AF75</f>
        <v>23982.09</v>
      </c>
      <c r="AG76" s="82">
        <v>0</v>
      </c>
      <c r="AH76" s="77"/>
      <c r="AI76" s="78">
        <f>AI68-AI75</f>
        <v>-23982.09</v>
      </c>
      <c r="AJ76" s="77">
        <f>AJ68-AJ75</f>
        <v>23982.09</v>
      </c>
      <c r="AK76" s="82">
        <v>0</v>
      </c>
      <c r="AL76" s="77"/>
      <c r="AM76" s="78">
        <f>AM68-AM75</f>
        <v>-23982.09</v>
      </c>
      <c r="AN76" s="77">
        <f>AN68-AN75</f>
        <v>23982.09</v>
      </c>
      <c r="AO76" s="82">
        <v>0</v>
      </c>
      <c r="AP76" s="77"/>
      <c r="AQ76" s="78">
        <f>AQ68-AQ75</f>
        <v>-23982.09</v>
      </c>
      <c r="AR76" s="77">
        <f>AR68-AR75</f>
        <v>23982.09</v>
      </c>
      <c r="AS76" s="82">
        <v>0</v>
      </c>
      <c r="AT76" s="77"/>
      <c r="AU76" s="78">
        <f>AU68-AU75</f>
        <v>-23982.010000000002</v>
      </c>
      <c r="AV76" s="77">
        <f>AV68-AV75</f>
        <v>23982.010000000002</v>
      </c>
      <c r="AW76" s="82">
        <v>0</v>
      </c>
      <c r="AX76" s="86">
        <f>B76+F76+J76+N76+R76+V76+Z76+AD76+AH76+AL76+AP76+AT76</f>
        <v>-21421.75</v>
      </c>
      <c r="AY76" s="86">
        <f>C76+G76+K76+O76+S76+W76+AA76+AE76+AI76+AM76+AQ76+AU76</f>
        <v>-287785.0</v>
      </c>
      <c r="AZ76" s="85">
        <f>D76+H76+L76+P76+T76+X76+AB76+AF76+AJ76+AN76+AR76+AV76</f>
        <v>266363.25</v>
      </c>
      <c r="BA76" s="88">
        <v>0.07440000000000001</v>
      </c>
    </row>
    <row r="77" spans="1:53" ht="16">
      <c r="A77" s="65" t="s">
        <v>74</v>
      </c>
      <c r="B77" s="78">
        <f>B67+B76</f>
        <v>-2711.179999999993</v>
      </c>
      <c r="C77" s="77">
        <f>C67+C76</f>
        <v>17701.230000000007</v>
      </c>
      <c r="D77" s="78">
        <f>D67+D76</f>
        <v>-20412.41</v>
      </c>
      <c r="E77" s="84">
        <v>-0.1532</v>
      </c>
      <c r="F77" s="77">
        <f>F67+F76</f>
        <v>127.81999999999971</v>
      </c>
      <c r="G77" s="77">
        <f>G67+G76</f>
        <v>17701.230000000007</v>
      </c>
      <c r="H77" s="78">
        <f>H67+H76</f>
        <v>-17573.410000000007</v>
      </c>
      <c r="I77" s="82">
        <v>0.0072</v>
      </c>
      <c r="J77" s="77"/>
      <c r="K77" s="77">
        <f>K67+K76</f>
        <v>17701.230000000007</v>
      </c>
      <c r="L77" s="78">
        <f>L67+L76</f>
        <v>-17701.230000000007</v>
      </c>
      <c r="M77" s="82">
        <v>0</v>
      </c>
      <c r="N77" s="77"/>
      <c r="O77" s="77">
        <f>O67+O76</f>
        <v>17701.230000000007</v>
      </c>
      <c r="P77" s="78">
        <f>P67+P76</f>
        <v>-17701.230000000007</v>
      </c>
      <c r="Q77" s="82">
        <v>0</v>
      </c>
      <c r="R77" s="77"/>
      <c r="S77" s="77">
        <f>S67+S76</f>
        <v>17701.230000000007</v>
      </c>
      <c r="T77" s="78">
        <f>T67+T76</f>
        <v>-17701.230000000007</v>
      </c>
      <c r="U77" s="82">
        <v>0</v>
      </c>
      <c r="V77" s="77"/>
      <c r="W77" s="77">
        <f>W67+W76</f>
        <v>17701.230000000007</v>
      </c>
      <c r="X77" s="78">
        <f>X67+X76</f>
        <v>-17701.230000000007</v>
      </c>
      <c r="Y77" s="82">
        <v>0</v>
      </c>
      <c r="Z77" s="77"/>
      <c r="AA77" s="77">
        <f>AA67+AA76</f>
        <v>17701.230000000007</v>
      </c>
      <c r="AB77" s="78">
        <f>AB67+AB76</f>
        <v>-17701.230000000007</v>
      </c>
      <c r="AC77" s="82">
        <v>0</v>
      </c>
      <c r="AD77" s="77"/>
      <c r="AE77" s="77">
        <f>AE67+AE76</f>
        <v>17701.230000000007</v>
      </c>
      <c r="AF77" s="78">
        <f>AF67+AF76</f>
        <v>-17701.230000000007</v>
      </c>
      <c r="AG77" s="82">
        <v>0</v>
      </c>
      <c r="AH77" s="77"/>
      <c r="AI77" s="77">
        <f>AI67+AI76</f>
        <v>17701.230000000007</v>
      </c>
      <c r="AJ77" s="78">
        <f>AJ67+AJ76</f>
        <v>-17701.230000000007</v>
      </c>
      <c r="AK77" s="82">
        <v>0</v>
      </c>
      <c r="AL77" s="77"/>
      <c r="AM77" s="77">
        <f>AM67+AM76</f>
        <v>17701.230000000007</v>
      </c>
      <c r="AN77" s="78">
        <f>AN67+AN76</f>
        <v>-17701.230000000007</v>
      </c>
      <c r="AO77" s="82">
        <v>0</v>
      </c>
      <c r="AP77" s="77"/>
      <c r="AQ77" s="77">
        <f>AQ67+AQ76</f>
        <v>17701.230000000007</v>
      </c>
      <c r="AR77" s="78">
        <f>AR67+AR76</f>
        <v>-17701.230000000007</v>
      </c>
      <c r="AS77" s="82">
        <v>0</v>
      </c>
      <c r="AT77" s="77"/>
      <c r="AU77" s="77">
        <f>AU67+AU76</f>
        <v>17701.47</v>
      </c>
      <c r="AV77" s="78">
        <f>AV67+AV76</f>
        <v>-17701.47</v>
      </c>
      <c r="AW77" s="82">
        <v>0</v>
      </c>
      <c r="AX77" s="86">
        <f>B77+F77+J77+N77+R77+V77+Z77+AD77+AH77+AL77+AP77+AT77</f>
        <v>-2583.3599999999933</v>
      </c>
      <c r="AY77" s="85">
        <f>C77+G77+K77+O77+S77+W77+AA77+AE77+AI77+AM77+AQ77+AU77</f>
        <v>212415.0000000001</v>
      </c>
      <c r="AZ77" s="86">
        <f>D77+H77+L77+P77+T77+X77+AB77+AF77+AJ77+AN77+AR77+AV77</f>
        <v>-214998.3600000001</v>
      </c>
      <c r="BA77" s="84">
        <v>-0.012199999999999999</v>
      </c>
    </row>
    <row r="81" spans="1:1" ht="16">
      <c r="A81" s="91" t="s">
        <v>93</v>
      </c>
    </row>
  </sheetData>
  <mergeCells count="16">
    <mergeCell ref="A1:BA1"/>
    <mergeCell ref="A2:BA2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A81:BA8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