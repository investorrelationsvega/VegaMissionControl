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100" i="1" l="1"/>
</calcChain>
</file>

<file path=xl/sharedStrings.xml><?xml version="1.0" encoding="utf-8"?>
<sst xmlns="http://schemas.openxmlformats.org/spreadsheetml/2006/main" count="823" uniqueCount="116">
  <si>
    <t>Budget vs. Actuals_Budget_FY26_P&amp;L - Riverton AL</t>
  </si>
  <si>
    <t>Beehive Homes of Riverton</t>
  </si>
  <si>
    <t>January 1-December 31, 2026</t>
  </si>
  <si>
    <t>Income</t>
  </si>
  <si>
    <t/>
  </si>
  <si>
    <t>Services</t>
  </si>
  <si>
    <t>Rental Income</t>
  </si>
  <si>
    <t>Day Care</t>
  </si>
  <si>
    <t>Move In Fees</t>
  </si>
  <si>
    <t>Total for Services</t>
  </si>
  <si>
    <t>Uncategorized Income</t>
  </si>
  <si>
    <t>Total for Income</t>
  </si>
  <si>
    <t>Cost of Goods Sold</t>
  </si>
  <si>
    <t>Gross Profit</t>
  </si>
  <si>
    <t>Expenses</t>
  </si>
  <si>
    <t>Business licences</t>
  </si>
  <si>
    <t>Commissions &amp; fees</t>
  </si>
  <si>
    <t>Franchise Fees</t>
  </si>
  <si>
    <t>Total for Commissions &amp; fees</t>
  </si>
  <si>
    <t>Contract labor</t>
  </si>
  <si>
    <t>Employee benefits</t>
  </si>
  <si>
    <t>Worker's compensation insurance</t>
  </si>
  <si>
    <t>Total for Employee benefits</t>
  </si>
  <si>
    <t>General business expenses</t>
  </si>
  <si>
    <t>Bank fees &amp; service charges</t>
  </si>
  <si>
    <t>Bank Charges</t>
  </si>
  <si>
    <t>Dues &amp; Subscriptions</t>
  </si>
  <si>
    <t>Total for General business expenses</t>
  </si>
  <si>
    <t>Insurance</t>
  </si>
  <si>
    <t>Business insurance</t>
  </si>
  <si>
    <t>Total for Insurance</t>
  </si>
  <si>
    <t>Legal &amp; accounting services</t>
  </si>
  <si>
    <t>Cost Segregation Reports</t>
  </si>
  <si>
    <t>Accounting fees</t>
  </si>
  <si>
    <t>Total for Legal &amp; accounting services</t>
  </si>
  <si>
    <t>Office expenses</t>
  </si>
  <si>
    <t>Software &amp; apps</t>
  </si>
  <si>
    <t>Accounting Services</t>
  </si>
  <si>
    <t>Total for Software &amp; apps</t>
  </si>
  <si>
    <t>Total for Office expenses</t>
  </si>
  <si>
    <t>Payroll expenses</t>
  </si>
  <si>
    <t>Dietary Staff</t>
  </si>
  <si>
    <t>House Manager</t>
  </si>
  <si>
    <t>Nursing Staff</t>
  </si>
  <si>
    <t>Payroll Processing Fee</t>
  </si>
  <si>
    <t>Payroll taxes</t>
  </si>
  <si>
    <t>RN</t>
  </si>
  <si>
    <t>Administrator</t>
  </si>
  <si>
    <t>Wages</t>
  </si>
  <si>
    <t>Total for Payroll expenses</t>
  </si>
  <si>
    <t>QuickBooks Payments Fees</t>
  </si>
  <si>
    <t>Repairs &amp; maintenance</t>
  </si>
  <si>
    <t>Renovations &amp; Improvements</t>
  </si>
  <si>
    <t>Engineering</t>
  </si>
  <si>
    <t>Total for Renovations &amp; Improvements</t>
  </si>
  <si>
    <t>Total for Repairs &amp; maintenance</t>
  </si>
  <si>
    <t>Supplies</t>
  </si>
  <si>
    <t>Food</t>
  </si>
  <si>
    <t>Housekeeping &amp; Laundry Supplies</t>
  </si>
  <si>
    <t>Maintenance Supplies</t>
  </si>
  <si>
    <t>Supplies Mark Up</t>
  </si>
  <si>
    <t>Total for Maintenance Supplies</t>
  </si>
  <si>
    <t>Medical Supplies</t>
  </si>
  <si>
    <t>Activities Supplies</t>
  </si>
  <si>
    <t>Supplies &amp; materials</t>
  </si>
  <si>
    <t>Total for Supplies</t>
  </si>
  <si>
    <t>Utilities</t>
  </si>
  <si>
    <t>Disposal &amp; waste fees</t>
  </si>
  <si>
    <t>Electricity</t>
  </si>
  <si>
    <t>Internet &amp; TV services</t>
  </si>
  <si>
    <t>Total for Utilities</t>
  </si>
  <si>
    <t>Advertising &amp; marketing</t>
  </si>
  <si>
    <t>Uncategorized Expense</t>
  </si>
  <si>
    <t>Total for Expenses</t>
  </si>
  <si>
    <t>Net Operating Income</t>
  </si>
  <si>
    <t>Other Income</t>
  </si>
  <si>
    <t>Other income</t>
  </si>
  <si>
    <t>Interest earned</t>
  </si>
  <si>
    <t>Total for Other income</t>
  </si>
  <si>
    <t>Total for Other Income</t>
  </si>
  <si>
    <t>Other Expenses</t>
  </si>
  <si>
    <t>Asset Management Fee</t>
  </si>
  <si>
    <t>Assisted Living Management Fee</t>
  </si>
  <si>
    <t>Development Expenses</t>
  </si>
  <si>
    <t>Architectural Services</t>
  </si>
  <si>
    <t>Drafting/Design</t>
  </si>
  <si>
    <t>Total for Architectural Services</t>
  </si>
  <si>
    <t>Total for Development Expenses</t>
  </si>
  <si>
    <t>Home office</t>
  </si>
  <si>
    <t>Property taxes</t>
  </si>
  <si>
    <t>Total for Home office</t>
  </si>
  <si>
    <t>Mortgage Expense</t>
  </si>
  <si>
    <t>Mortgage interest</t>
  </si>
  <si>
    <t>Total for Mortgage Expense</t>
  </si>
  <si>
    <t>Total for Other Expenses</t>
  </si>
  <si>
    <t>Net Other Income</t>
  </si>
  <si>
    <t>Net Income</t>
  </si>
  <si>
    <t>Distribution account</t>
  </si>
  <si>
    <t>January 2026</t>
  </si>
  <si>
    <t>Actual</t>
  </si>
  <si>
    <t>Budget</t>
  </si>
  <si>
    <t>Over budget by</t>
  </si>
  <si>
    <t>Percent of budget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</si>
  <si>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</si>
  <si>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</si>
  <si>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</si>
  <si>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</si>
  <si>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</si>
  <si>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</si>
  <si>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</si>
  <si>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</si>
  <si>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</si>
  <si>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</si>
  <si>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</si>
  <si>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Total</t>
  </si>
  <si>
    <t>Accrual Basis Friday, February 27, 2026 04:02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</si>
</sst>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,##0.00%"/>
    <numFmt numFmtId="178" formatCode="#,##0.00\%"/>
    <numFmt numFmtId="179" formatCode="$#,##0.00"/>
    <numFmt numFmtId="180" formatCode="#,##0.00"/>
  </numFmts>
  <fonts count="1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3">
    <xf numFmtId="0" fontId="0" fillId="0" borderId="0" xfId="0"/>
    <xf numFmtId="0" fontId="2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80" fontId="0" fillId="0" borderId="0" xfId="0" applyNumberFormat="1"/>
    <xf numFmtId="180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80" fontId="12" fillId="0" borderId="0" xfId="0" applyNumberFormat="1" applyFont="1"/>
    <xf numFmtId="180" fontId="6" fillId="0" borderId="0" xfId="0" applyNumberFormat="1" applyFont="1"/>
    <xf numFmtId="178" fontId="0" fillId="0" borderId="0" xfId="0" applyNumberFormat="1"/>
    <xf numFmtId="178" fontId="3" fillId="0" borderId="0" xfId="0" applyNumberFormat="1" applyFont="1"/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9" fontId="0" fillId="0" borderId="0" xfId="0" applyNumberFormat="1"/>
    <xf numFmtId="179" fontId="2" fillId="0" borderId="0" xfId="0" applyNumberFormat="1" applyFont="1"/>
    <xf numFmtId="179" fontId="2" fillId="0" borderId="2" xfId="0" applyNumberFormat="1" applyFont="1" applyBorder="1"/>
    <xf numFmtId="179" fontId="4" fillId="0" borderId="2" xfId="0" applyNumberFormat="1" applyFont="1" applyBorder="1"/>
    <xf numFmtId="179" fontId="11" fillId="0" borderId="0" xfId="0" applyNumberFormat="1" applyFont="1"/>
    <xf numFmtId="179" fontId="11" fillId="0" borderId="2" xfId="0" applyNumberFormat="1" applyFont="1" applyBorder="1"/>
    <xf numFmtId="179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180" fontId="2" fillId="0" borderId="0" xfId="0" applyNumberFormat="1" applyFont="1"/>
    <xf numFmtId="180" fontId="2" fillId="0" borderId="2" xfId="0" applyNumberFormat="1" applyFont="1" applyBorder="1"/>
    <xf numFmtId="180" fontId="4" fillId="0" borderId="2" xfId="0" applyNumberFormat="1" applyFont="1" applyBorder="1"/>
    <xf numFmtId="180" fontId="11" fillId="0" borderId="0" xfId="0" applyNumberFormat="1" applyFont="1"/>
    <xf numFmtId="180" fontId="11" fillId="0" borderId="2" xfId="0" applyNumberFormat="1" applyFont="1" applyBorder="1"/>
    <xf numFmtId="180" fontId="5" fillId="0" borderId="2" xfId="0" applyNumberFormat="1" applyFont="1" applyBorder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8" fontId="11" fillId="0" borderId="0" xfId="0" applyNumberFormat="1" applyFont="1"/>
    <xf numFmtId="178" fontId="11" fillId="0" borderId="2" xfId="0" applyNumberFormat="1" applyFont="1" applyBorder="1"/>
    <xf numFmtId="178" fontId="5" fillId="0" borderId="2" xfId="0" applyNumberFormat="1" applyFont="1" applyBorder="1"/>
    <xf numFmtId="177" fontId="11" fillId="0" borderId="0" xfId="0" applyNumberFormat="1" applyFont="1"/>
    <xf numFmtId="177" fontId="11" fillId="0" borderId="2" xfId="0" applyNumberFormat="1" applyFont="1" applyBorder="1"/>
    <xf numFmtId="177" fontId="5" fillId="0" borderId="2" xfId="0" applyNumberFormat="1" applyFont="1" applyBorder="1"/>
    <xf numFmtId="177" fontId="3" fillId="0" borderId="1" xfId="0" applyNumberFormat="1" applyFont="1" applyBorder="1"/>
    <xf numFmtId="177" fontId="4" fillId="0" borderId="3" xfId="0" applyNumberFormat="1" applyFont="1" applyBorder="1"/>
    <xf numFmtId="0" fontId="2" fillId="0" borderId="1" xfId="20">
      <alignment/>
      <protection/>
    </xf>
    <xf numFmtId="0" fontId="7" fillId="0" borderId="1" xfId="20" applyFont="1">
      <alignment/>
      <protection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7" fillId="0" borderId="1" xfId="20" applyFont="1" applyBorder="1" applyAlignment="1">
      <alignment wrapText="1"/>
      <protection/>
    </xf>
    <xf numFmtId="0" fontId="7" fillId="0" borderId="1" xfId="20" applyFont="1" applyBorder="1" applyAlignment="1">
      <alignment horizontal="center" wrapText="1"/>
      <protection/>
    </xf>
    <xf numFmtId="0" fontId="7" fillId="0" borderId="1" xfId="20" applyFont="1" applyBorder="1">
      <alignment/>
      <protection/>
    </xf>
    <xf numFmtId="0" fontId="7" fillId="0" borderId="1" xfId="20" applyFont="1" applyBorder="1" applyAlignment="1">
      <alignment horizontal="center"/>
      <protection/>
    </xf>
    <xf numFmtId="0" fontId="7" fillId="0" borderId="3" xfId="20" applyFont="1" applyBorder="1">
      <alignment/>
      <protection/>
    </xf>
    <xf numFmtId="0" fontId="7" fillId="0" borderId="3" xfId="20" applyFont="1" applyBorder="1" applyAlignment="1">
      <alignment wrapText="1"/>
      <protection/>
    </xf>
    <xf numFmtId="0" fontId="3" fillId="0" borderId="0" xfId="0" applyFont="1" applyAlignment="1">
      <alignment wrapText="1"/>
    </xf>
    <xf numFmtId="180" fontId="3" fillId="0" borderId="0" xfId="0" applyNumberFormat="1" applyFont="1" applyAlignment="1">
      <alignment wrapText="1"/>
    </xf>
    <xf numFmtId="180" fontId="4" fillId="0" borderId="2" xfId="0" applyNumberFormat="1" applyFont="1" applyBorder="1" applyAlignment="1">
      <alignment wrapText="1"/>
    </xf>
    <xf numFmtId="180" fontId="5" fillId="0" borderId="2" xfId="0" applyNumberFormat="1" applyFont="1" applyBorder="1" applyAlignment="1">
      <alignment wrapText="1"/>
    </xf>
    <xf numFmtId="0" fontId="7" fillId="0" borderId="3" xfId="20" applyFont="1" applyBorder="1" applyAlignment="1">
      <alignment horizontal="center" wrapText="1"/>
      <protection/>
    </xf>
    <xf numFmtId="180" fontId="6" fillId="0" borderId="0" xfId="0" applyNumberFormat="1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179" fontId="4" fillId="0" borderId="2" xfId="0" applyNumberFormat="1" applyFont="1" applyBorder="1" applyAlignment="1">
      <alignment wrapText="1"/>
    </xf>
    <xf numFmtId="179" fontId="5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7" fontId="3" fillId="0" borderId="1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A104"/>
  <sheetViews>
    <sheetView tabSelected="1" workbookViewId="0" topLeftCell="A1"/>
  </sheetViews>
  <sheetFormatPr defaultColWidth="11.255" defaultRowHeight="16" outlineLevelRow="3"/>
  <cols>
    <col min="1" max="1" width="32.375" style="70" customWidth="1"/>
    <col min="2" max="2" width="17" style="70" customWidth="1"/>
    <col min="3" max="3" width="16.125" style="70" customWidth="1"/>
    <col min="4" max="4" width="17" style="70" customWidth="1"/>
    <col min="5" max="5" width="15.25" style="70" customWidth="1"/>
    <col min="6" max="7" width="16.125" style="70" customWidth="1"/>
    <col min="8" max="8" width="17" style="70" customWidth="1"/>
    <col min="9" max="9" width="15.25" style="70" customWidth="1"/>
    <col min="10" max="10" width="7.5" style="70" customWidth="1"/>
    <col min="11" max="11" width="16.125" style="70" customWidth="1"/>
    <col min="12" max="12" width="17" style="70" customWidth="1"/>
    <col min="13" max="13" width="15.25" style="70" customWidth="1"/>
    <col min="14" max="14" width="7.5" style="70" customWidth="1"/>
    <col min="15" max="15" width="16.125" style="70" customWidth="1"/>
    <col min="16" max="16" width="17" style="70" customWidth="1"/>
    <col min="17" max="17" width="15.25" style="70" customWidth="1"/>
    <col min="18" max="18" width="7.5" style="70" customWidth="1"/>
    <col min="19" max="19" width="16.125" style="70" customWidth="1"/>
    <col min="20" max="20" width="17" style="70" customWidth="1"/>
    <col min="21" max="21" width="15.25" style="70" customWidth="1"/>
    <col min="22" max="22" width="7.5" style="70" customWidth="1"/>
    <col min="23" max="23" width="16.125" style="70" customWidth="1"/>
    <col min="24" max="24" width="17" style="70" customWidth="1"/>
    <col min="25" max="25" width="15.25" style="70" customWidth="1"/>
    <col min="26" max="26" width="7.5" style="70" customWidth="1"/>
    <col min="27" max="27" width="16.125" style="70" customWidth="1"/>
    <col min="28" max="28" width="17" style="70" customWidth="1"/>
    <col min="29" max="29" width="15.25" style="70" customWidth="1"/>
    <col min="30" max="30" width="7.5" style="70" customWidth="1"/>
    <col min="31" max="31" width="16.125" style="70" customWidth="1"/>
    <col min="32" max="32" width="17" style="70" customWidth="1"/>
    <col min="33" max="33" width="15.25" style="70" customWidth="1"/>
    <col min="34" max="34" width="7.5" style="70" customWidth="1"/>
    <col min="35" max="35" width="16.125" style="70" customWidth="1"/>
    <col min="36" max="36" width="17" style="70" customWidth="1"/>
    <col min="37" max="37" width="15.25" style="70" customWidth="1"/>
    <col min="38" max="38" width="7.5" style="70" customWidth="1"/>
    <col min="39" max="39" width="16.125" style="70" customWidth="1"/>
    <col min="40" max="40" width="17" style="70" customWidth="1"/>
    <col min="41" max="41" width="15.25" style="70" customWidth="1"/>
    <col min="42" max="42" width="7.5" style="70" customWidth="1"/>
    <col min="43" max="43" width="16.125" style="70" customWidth="1"/>
    <col min="44" max="44" width="17" style="70" customWidth="1"/>
    <col min="45" max="45" width="15.25" style="70" customWidth="1"/>
    <col min="46" max="46" width="7.5" style="70" customWidth="1"/>
    <col min="47" max="47" width="16.125" style="70" customWidth="1"/>
    <col min="48" max="48" width="17" style="70" customWidth="1"/>
    <col min="49" max="49" width="15.25" style="70" customWidth="1"/>
    <col min="50" max="50" width="17" style="70" customWidth="1"/>
    <col min="51" max="51" width="16.125" style="70" customWidth="1"/>
    <col min="52" max="52" width="17" style="70" customWidth="1"/>
    <col min="53" max="53" width="15.25" style="70" customWidth="1"/>
  </cols>
  <sheetData>
    <row r="1" spans="1:1" ht="16">
      <c r="A1" s="59" t="s">
        <v>0</v>
      </c>
    </row>
    <row r="2" spans="1:1" ht="16">
      <c r="A2" s="60" t="s">
        <v>1</v>
      </c>
    </row>
    <row r="3" spans="1:1" ht="16">
      <c r="A3" s="61" t="s">
        <v>2</v>
      </c>
    </row>
    <row r="5" spans="1:50" ht="16">
      <c r="A5" s="72" t="s">
        <v>97</v>
      </c>
      <c r="B5" s="72" t="s">
        <v>98</v>
      </c>
      <c r="F5" s="72" t="s">
        <v>103</v>
      </c>
      <c r="J5" s="72" t="s">
        <v>104</v>
      </c>
      <c r="N5" s="72" t="s">
        <v>105</v>
      </c>
      <c r="R5" s="72" t="s">
        <v>106</v>
      </c>
      <c r="V5" s="72" t="s">
        <v>107</v>
      </c>
      <c r="Z5" s="72" t="s">
        <v>108</v>
      </c>
      <c r="AD5" s="72" t="s">
        <v>109</v>
      </c>
      <c r="AH5" s="72" t="s">
        <v>110</v>
      </c>
      <c r="AL5" s="72" t="s">
        <v>111</v>
      </c>
      <c r="AP5" s="72" t="s">
        <v>112</v>
      </c>
      <c r="AT5" s="72" t="s">
        <v>113</v>
      </c>
      <c r="AX5" s="72" t="s">
        <v>114</v>
      </c>
    </row>
    <row r="6" spans="2:53" ht="16">
      <c r="B6" s="81" t="s">
        <v>99</v>
      </c>
      <c r="C6" s="72" t="s">
        <v>100</v>
      </c>
      <c r="D6" s="72" t="s">
        <v>101</v>
      </c>
      <c r="E6" s="72" t="s">
        <v>102</v>
      </c>
      <c r="F6" s="81" t="s">
        <v>99</v>
      </c>
      <c r="G6" s="72" t="s">
        <v>100</v>
      </c>
      <c r="H6" s="72" t="s">
        <v>101</v>
      </c>
      <c r="I6" s="72" t="s">
        <v>102</v>
      </c>
      <c r="J6" s="81" t="s">
        <v>99</v>
      </c>
      <c r="K6" s="72" t="s">
        <v>100</v>
      </c>
      <c r="L6" s="72" t="s">
        <v>101</v>
      </c>
      <c r="M6" s="72" t="s">
        <v>102</v>
      </c>
      <c r="N6" s="81" t="s">
        <v>99</v>
      </c>
      <c r="O6" s="72" t="s">
        <v>100</v>
      </c>
      <c r="P6" s="72" t="s">
        <v>101</v>
      </c>
      <c r="Q6" s="72" t="s">
        <v>102</v>
      </c>
      <c r="R6" s="81" t="s">
        <v>99</v>
      </c>
      <c r="S6" s="72" t="s">
        <v>100</v>
      </c>
      <c r="T6" s="72" t="s">
        <v>101</v>
      </c>
      <c r="U6" s="72" t="s">
        <v>102</v>
      </c>
      <c r="V6" s="81" t="s">
        <v>99</v>
      </c>
      <c r="W6" s="72" t="s">
        <v>100</v>
      </c>
      <c r="X6" s="72" t="s">
        <v>101</v>
      </c>
      <c r="Y6" s="72" t="s">
        <v>102</v>
      </c>
      <c r="Z6" s="81" t="s">
        <v>99</v>
      </c>
      <c r="AA6" s="72" t="s">
        <v>100</v>
      </c>
      <c r="AB6" s="72" t="s">
        <v>101</v>
      </c>
      <c r="AC6" s="72" t="s">
        <v>102</v>
      </c>
      <c r="AD6" s="81" t="s">
        <v>99</v>
      </c>
      <c r="AE6" s="72" t="s">
        <v>100</v>
      </c>
      <c r="AF6" s="72" t="s">
        <v>101</v>
      </c>
      <c r="AG6" s="72" t="s">
        <v>102</v>
      </c>
      <c r="AH6" s="81" t="s">
        <v>99</v>
      </c>
      <c r="AI6" s="72" t="s">
        <v>100</v>
      </c>
      <c r="AJ6" s="72" t="s">
        <v>101</v>
      </c>
      <c r="AK6" s="72" t="s">
        <v>102</v>
      </c>
      <c r="AL6" s="81" t="s">
        <v>99</v>
      </c>
      <c r="AM6" s="72" t="s">
        <v>100</v>
      </c>
      <c r="AN6" s="72" t="s">
        <v>101</v>
      </c>
      <c r="AO6" s="72" t="s">
        <v>102</v>
      </c>
      <c r="AP6" s="81" t="s">
        <v>99</v>
      </c>
      <c r="AQ6" s="72" t="s">
        <v>100</v>
      </c>
      <c r="AR6" s="72" t="s">
        <v>101</v>
      </c>
      <c r="AS6" s="72" t="s">
        <v>102</v>
      </c>
      <c r="AT6" s="81" t="s">
        <v>99</v>
      </c>
      <c r="AU6" s="72" t="s">
        <v>100</v>
      </c>
      <c r="AV6" s="72" t="s">
        <v>101</v>
      </c>
      <c r="AW6" s="72" t="s">
        <v>102</v>
      </c>
      <c r="AX6" s="81" t="s">
        <v>99</v>
      </c>
      <c r="AY6" s="72" t="s">
        <v>100</v>
      </c>
      <c r="AZ6" s="72" t="s">
        <v>101</v>
      </c>
      <c r="BA6" s="72" t="s">
        <v>102</v>
      </c>
    </row>
    <row r="7" spans="1:49" ht="16">
      <c r="A7" s="63" t="s">
        <v>3</v>
      </c>
      <c r="B7" s="77"/>
      <c r="C7" s="77"/>
      <c r="D7" s="77"/>
      <c r="E7" s="77" t="s">
        <v>4</v>
      </c>
      <c r="F7" s="77"/>
      <c r="G7" s="77"/>
      <c r="H7" s="77"/>
      <c r="I7" s="77" t="s">
        <v>4</v>
      </c>
      <c r="J7" s="77"/>
      <c r="K7" s="77"/>
      <c r="L7" s="77"/>
      <c r="M7" s="77" t="s">
        <v>4</v>
      </c>
      <c r="N7" s="77"/>
      <c r="O7" s="77"/>
      <c r="P7" s="77"/>
      <c r="Q7" s="77" t="s">
        <v>4</v>
      </c>
      <c r="R7" s="77"/>
      <c r="S7" s="77"/>
      <c r="T7" s="77"/>
      <c r="U7" s="77" t="s">
        <v>4</v>
      </c>
      <c r="V7" s="77"/>
      <c r="W7" s="77"/>
      <c r="X7" s="77"/>
      <c r="Y7" s="77" t="s">
        <v>4</v>
      </c>
      <c r="Z7" s="77"/>
      <c r="AA7" s="77"/>
      <c r="AB7" s="77"/>
      <c r="AC7" s="77" t="s">
        <v>4</v>
      </c>
      <c r="AD7" s="77"/>
      <c r="AE7" s="77"/>
      <c r="AF7" s="77"/>
      <c r="AG7" s="77" t="s">
        <v>4</v>
      </c>
      <c r="AH7" s="77"/>
      <c r="AI7" s="77"/>
      <c r="AJ7" s="77"/>
      <c r="AK7" s="77" t="s">
        <v>4</v>
      </c>
      <c r="AL7" s="77"/>
      <c r="AM7" s="77"/>
      <c r="AN7" s="77"/>
      <c r="AO7" s="77" t="s">
        <v>4</v>
      </c>
      <c r="AP7" s="77"/>
      <c r="AQ7" s="77"/>
      <c r="AR7" s="77"/>
      <c r="AS7" s="77" t="s">
        <v>4</v>
      </c>
      <c r="AT7" s="77"/>
      <c r="AU7" s="77"/>
      <c r="AV7" s="77"/>
      <c r="AW7" s="77" t="s">
        <v>4</v>
      </c>
    </row>
    <row r="8" spans="1:53" ht="16" outlineLevel="1">
      <c r="A8" s="64" t="s">
        <v>5</v>
      </c>
      <c r="B8" s="78">
        <v>245.25</v>
      </c>
      <c r="C8" s="77"/>
      <c r="D8" s="78">
        <v>245.25</v>
      </c>
      <c r="E8" s="77" t="s">
        <v>4</v>
      </c>
      <c r="F8" s="78">
        <v>1037.45</v>
      </c>
      <c r="G8" s="77"/>
      <c r="H8" s="78">
        <v>1037.45</v>
      </c>
      <c r="I8" s="77" t="s">
        <v>4</v>
      </c>
      <c r="J8" s="77"/>
      <c r="K8" s="77"/>
      <c r="L8" s="77"/>
      <c r="M8" s="77" t="s">
        <v>4</v>
      </c>
      <c r="N8" s="77"/>
      <c r="O8" s="77"/>
      <c r="P8" s="77"/>
      <c r="Q8" s="77" t="s">
        <v>4</v>
      </c>
      <c r="R8" s="77"/>
      <c r="S8" s="77"/>
      <c r="T8" s="77"/>
      <c r="U8" s="77" t="s">
        <v>4</v>
      </c>
      <c r="V8" s="77"/>
      <c r="W8" s="77"/>
      <c r="X8" s="77"/>
      <c r="Y8" s="77" t="s">
        <v>4</v>
      </c>
      <c r="Z8" s="77"/>
      <c r="AA8" s="77"/>
      <c r="AB8" s="77"/>
      <c r="AC8" s="77" t="s">
        <v>4</v>
      </c>
      <c r="AD8" s="77"/>
      <c r="AE8" s="77"/>
      <c r="AF8" s="77"/>
      <c r="AG8" s="77" t="s">
        <v>4</v>
      </c>
      <c r="AH8" s="77"/>
      <c r="AI8" s="77"/>
      <c r="AJ8" s="77"/>
      <c r="AK8" s="77" t="s">
        <v>4</v>
      </c>
      <c r="AL8" s="77"/>
      <c r="AM8" s="77"/>
      <c r="AN8" s="77"/>
      <c r="AO8" s="77" t="s">
        <v>4</v>
      </c>
      <c r="AP8" s="77"/>
      <c r="AQ8" s="77"/>
      <c r="AR8" s="77"/>
      <c r="AS8" s="77" t="s">
        <v>4</v>
      </c>
      <c r="AT8" s="77"/>
      <c r="AU8" s="77"/>
      <c r="AV8" s="77"/>
      <c r="AW8" s="77" t="s">
        <v>4</v>
      </c>
      <c r="AX8" s="78">
        <f>B8+F8+J8+N8+R8+V8+Z8+AD8+AH8+AL8+AP8+AT8</f>
        <v>1282.7</v>
      </c>
      <c r="AY8" s="77"/>
      <c r="AZ8" s="78">
        <f>D8+H8+L8+P8+T8+X8+AB8+AF8+AJ8+AN8+AR8+AV8</f>
        <v>1282.7</v>
      </c>
      <c r="BA8" s="77" t="s">
        <v>4</v>
      </c>
    </row>
    <row r="9" spans="1:53" ht="16" outlineLevel="2">
      <c r="A9" s="65" t="s">
        <v>6</v>
      </c>
      <c r="B9" s="78">
        <v>57080.39</v>
      </c>
      <c r="C9" s="78">
        <v>72000.0</v>
      </c>
      <c r="D9" s="82">
        <v>-14919.61</v>
      </c>
      <c r="E9" s="83">
        <v>0.7928000000000001</v>
      </c>
      <c r="F9" s="78">
        <v>61027.0</v>
      </c>
      <c r="G9" s="78">
        <v>72000.0</v>
      </c>
      <c r="H9" s="82">
        <v>-10973.0</v>
      </c>
      <c r="I9" s="83">
        <v>0.8476</v>
      </c>
      <c r="J9" s="77"/>
      <c r="K9" s="78">
        <v>72000.0</v>
      </c>
      <c r="L9" s="82">
        <v>-72000.0</v>
      </c>
      <c r="M9" s="83">
        <v>0</v>
      </c>
      <c r="N9" s="77"/>
      <c r="O9" s="78">
        <v>72000.0</v>
      </c>
      <c r="P9" s="82">
        <v>-72000.0</v>
      </c>
      <c r="Q9" s="83">
        <v>0</v>
      </c>
      <c r="R9" s="77"/>
      <c r="S9" s="78">
        <v>72000.0</v>
      </c>
      <c r="T9" s="82">
        <v>-72000.0</v>
      </c>
      <c r="U9" s="83">
        <v>0</v>
      </c>
      <c r="V9" s="77"/>
      <c r="W9" s="78">
        <v>72000.0</v>
      </c>
      <c r="X9" s="82">
        <v>-72000.0</v>
      </c>
      <c r="Y9" s="83">
        <v>0</v>
      </c>
      <c r="Z9" s="77"/>
      <c r="AA9" s="78">
        <v>72000.0</v>
      </c>
      <c r="AB9" s="82">
        <v>-72000.0</v>
      </c>
      <c r="AC9" s="83">
        <v>0</v>
      </c>
      <c r="AD9" s="77"/>
      <c r="AE9" s="78">
        <v>72000.0</v>
      </c>
      <c r="AF9" s="82">
        <v>-72000.0</v>
      </c>
      <c r="AG9" s="83">
        <v>0</v>
      </c>
      <c r="AH9" s="77"/>
      <c r="AI9" s="78">
        <v>72000.0</v>
      </c>
      <c r="AJ9" s="82">
        <v>-72000.0</v>
      </c>
      <c r="AK9" s="83">
        <v>0</v>
      </c>
      <c r="AL9" s="77"/>
      <c r="AM9" s="78">
        <v>72000.0</v>
      </c>
      <c r="AN9" s="82">
        <v>-72000.0</v>
      </c>
      <c r="AO9" s="83">
        <v>0</v>
      </c>
      <c r="AP9" s="77"/>
      <c r="AQ9" s="78">
        <v>72000.0</v>
      </c>
      <c r="AR9" s="82">
        <v>-72000.0</v>
      </c>
      <c r="AS9" s="83">
        <v>0</v>
      </c>
      <c r="AT9" s="77"/>
      <c r="AU9" s="78">
        <v>72000.0</v>
      </c>
      <c r="AV9" s="82">
        <v>-72000.0</v>
      </c>
      <c r="AW9" s="83">
        <v>0</v>
      </c>
      <c r="AX9" s="78">
        <f>B9+F9+J9+N9+R9+V9+Z9+AD9+AH9+AL9+AP9+AT9</f>
        <v>118107.39</v>
      </c>
      <c r="AY9" s="78">
        <f>C9+G9+K9+O9+S9+W9+AA9+AE9+AI9+AM9+AQ9+AU9</f>
        <v>864000.0</v>
      </c>
      <c r="AZ9" s="82">
        <f>D9+H9+L9+P9+T9+X9+AB9+AF9+AJ9+AN9+AR9+AV9</f>
        <v>-745892.61</v>
      </c>
      <c r="BA9" s="83">
        <v>0.1367</v>
      </c>
    </row>
    <row r="10" spans="1:53" ht="16" outlineLevel="2">
      <c r="A10" s="65" t="s">
        <v>7</v>
      </c>
      <c r="B10" s="77"/>
      <c r="C10" s="78">
        <v>416.67</v>
      </c>
      <c r="D10" s="82">
        <v>-416.67</v>
      </c>
      <c r="E10" s="83">
        <v>0</v>
      </c>
      <c r="F10" s="77"/>
      <c r="G10" s="78">
        <v>416.67</v>
      </c>
      <c r="H10" s="82">
        <v>-416.67</v>
      </c>
      <c r="I10" s="83">
        <v>0</v>
      </c>
      <c r="J10" s="77"/>
      <c r="K10" s="78">
        <v>416.67</v>
      </c>
      <c r="L10" s="82">
        <v>-416.67</v>
      </c>
      <c r="M10" s="83">
        <v>0</v>
      </c>
      <c r="N10" s="77"/>
      <c r="O10" s="78">
        <v>416.67</v>
      </c>
      <c r="P10" s="82">
        <v>-416.67</v>
      </c>
      <c r="Q10" s="83">
        <v>0</v>
      </c>
      <c r="R10" s="77"/>
      <c r="S10" s="78">
        <v>416.67</v>
      </c>
      <c r="T10" s="82">
        <v>-416.67</v>
      </c>
      <c r="U10" s="83">
        <v>0</v>
      </c>
      <c r="V10" s="77"/>
      <c r="W10" s="78">
        <v>416.67</v>
      </c>
      <c r="X10" s="82">
        <v>-416.67</v>
      </c>
      <c r="Y10" s="83">
        <v>0</v>
      </c>
      <c r="Z10" s="77"/>
      <c r="AA10" s="78">
        <v>416.67</v>
      </c>
      <c r="AB10" s="82">
        <v>-416.67</v>
      </c>
      <c r="AC10" s="83">
        <v>0</v>
      </c>
      <c r="AD10" s="77"/>
      <c r="AE10" s="78">
        <v>416.67</v>
      </c>
      <c r="AF10" s="82">
        <v>-416.67</v>
      </c>
      <c r="AG10" s="83">
        <v>0</v>
      </c>
      <c r="AH10" s="77"/>
      <c r="AI10" s="78">
        <v>416.67</v>
      </c>
      <c r="AJ10" s="82">
        <v>-416.67</v>
      </c>
      <c r="AK10" s="83">
        <v>0</v>
      </c>
      <c r="AL10" s="77"/>
      <c r="AM10" s="78">
        <v>416.67</v>
      </c>
      <c r="AN10" s="82">
        <v>-416.67</v>
      </c>
      <c r="AO10" s="83">
        <v>0</v>
      </c>
      <c r="AP10" s="77"/>
      <c r="AQ10" s="78">
        <v>416.67</v>
      </c>
      <c r="AR10" s="82">
        <v>-416.67</v>
      </c>
      <c r="AS10" s="83">
        <v>0</v>
      </c>
      <c r="AT10" s="77"/>
      <c r="AU10" s="78">
        <v>416.63</v>
      </c>
      <c r="AV10" s="82">
        <v>-416.63</v>
      </c>
      <c r="AW10" s="83">
        <v>0</v>
      </c>
      <c r="AX10" s="77"/>
      <c r="AY10" s="78">
        <f>C10+G10+K10+O10+S10+W10+AA10+AE10+AI10+AM10+AQ10+AU10</f>
        <v>5000.0</v>
      </c>
      <c r="AZ10" s="82">
        <f>D10+H10+L10+P10+T10+X10+AB10+AF10+AJ10+AN10+AR10+AV10</f>
        <v>-5000.0</v>
      </c>
      <c r="BA10" s="89">
        <f>IFERROR(E10+I10+M10+Q10+U10+Y10+AC10+AG10+AK10+AO10+AS10+AW10,"")</f>
        <v>0.0</v>
      </c>
    </row>
    <row r="11" spans="1:53" ht="16" outlineLevel="2">
      <c r="A11" s="65" t="s">
        <v>8</v>
      </c>
      <c r="B11" s="77"/>
      <c r="C11" s="78">
        <v>416.67</v>
      </c>
      <c r="D11" s="82">
        <v>-416.67</v>
      </c>
      <c r="E11" s="83">
        <v>0</v>
      </c>
      <c r="F11" s="77"/>
      <c r="G11" s="78">
        <v>416.67</v>
      </c>
      <c r="H11" s="82">
        <v>-416.67</v>
      </c>
      <c r="I11" s="83">
        <v>0</v>
      </c>
      <c r="J11" s="77"/>
      <c r="K11" s="78">
        <v>416.67</v>
      </c>
      <c r="L11" s="82">
        <v>-416.67</v>
      </c>
      <c r="M11" s="83">
        <v>0</v>
      </c>
      <c r="N11" s="77"/>
      <c r="O11" s="78">
        <v>416.67</v>
      </c>
      <c r="P11" s="82">
        <v>-416.67</v>
      </c>
      <c r="Q11" s="83">
        <v>0</v>
      </c>
      <c r="R11" s="77"/>
      <c r="S11" s="78">
        <v>416.67</v>
      </c>
      <c r="T11" s="82">
        <v>-416.67</v>
      </c>
      <c r="U11" s="83">
        <v>0</v>
      </c>
      <c r="V11" s="77"/>
      <c r="W11" s="78">
        <v>416.67</v>
      </c>
      <c r="X11" s="82">
        <v>-416.67</v>
      </c>
      <c r="Y11" s="83">
        <v>0</v>
      </c>
      <c r="Z11" s="77"/>
      <c r="AA11" s="78">
        <v>416.67</v>
      </c>
      <c r="AB11" s="82">
        <v>-416.67</v>
      </c>
      <c r="AC11" s="83">
        <v>0</v>
      </c>
      <c r="AD11" s="77"/>
      <c r="AE11" s="78">
        <v>416.67</v>
      </c>
      <c r="AF11" s="82">
        <v>-416.67</v>
      </c>
      <c r="AG11" s="83">
        <v>0</v>
      </c>
      <c r="AH11" s="77"/>
      <c r="AI11" s="78">
        <v>416.67</v>
      </c>
      <c r="AJ11" s="82">
        <v>-416.67</v>
      </c>
      <c r="AK11" s="83">
        <v>0</v>
      </c>
      <c r="AL11" s="77"/>
      <c r="AM11" s="78">
        <v>416.67</v>
      </c>
      <c r="AN11" s="82">
        <v>-416.67</v>
      </c>
      <c r="AO11" s="83">
        <v>0</v>
      </c>
      <c r="AP11" s="77"/>
      <c r="AQ11" s="78">
        <v>416.67</v>
      </c>
      <c r="AR11" s="82">
        <v>-416.67</v>
      </c>
      <c r="AS11" s="83">
        <v>0</v>
      </c>
      <c r="AT11" s="77"/>
      <c r="AU11" s="78">
        <v>416.63</v>
      </c>
      <c r="AV11" s="82">
        <v>-416.63</v>
      </c>
      <c r="AW11" s="83">
        <v>0</v>
      </c>
      <c r="AX11" s="77"/>
      <c r="AY11" s="78">
        <f>C11+G11+K11+O11+S11+W11+AA11+AE11+AI11+AM11+AQ11+AU11</f>
        <v>5000.0</v>
      </c>
      <c r="AZ11" s="82">
        <f>D11+H11+L11+P11+T11+X11+AB11+AF11+AJ11+AN11+AR11+AV11</f>
        <v>-5000.0</v>
      </c>
      <c r="BA11" s="89">
        <f>IFERROR(E11+I11+M11+Q11+U11+Y11+AC11+AG11+AK11+AO11+AS11+AW11,"")</f>
        <v>0.0</v>
      </c>
    </row>
    <row r="12" spans="1:53" ht="16" outlineLevel="1">
      <c r="A12" s="66" t="s">
        <v>9</v>
      </c>
      <c r="B12" s="79">
        <f>B8+B9+B10+B11</f>
        <v>57325.64</v>
      </c>
      <c r="C12" s="79">
        <f>C8+C9+C10+C11</f>
        <v>72833.34</v>
      </c>
      <c r="D12" s="80">
        <f>D8+D9+D10+D11</f>
        <v>-15507.7</v>
      </c>
      <c r="E12" s="84">
        <v>0.7870999999999999</v>
      </c>
      <c r="F12" s="79">
        <f>F8+F9+F10+F11</f>
        <v>62064.45</v>
      </c>
      <c r="G12" s="79">
        <f>G8+G9+G10+G11</f>
        <v>72833.34</v>
      </c>
      <c r="H12" s="80">
        <f>H8+H9+H10+H11</f>
        <v>-10768.89</v>
      </c>
      <c r="I12" s="84">
        <v>0.8521</v>
      </c>
      <c r="J12" s="79"/>
      <c r="K12" s="79">
        <f>K8+K9+K10+K11</f>
        <v>72833.34</v>
      </c>
      <c r="L12" s="80">
        <f>L8+L9+L10+L11</f>
        <v>-72833.34</v>
      </c>
      <c r="M12" s="84">
        <v>0</v>
      </c>
      <c r="N12" s="79"/>
      <c r="O12" s="79">
        <f>O8+O9+O10+O11</f>
        <v>72833.34</v>
      </c>
      <c r="P12" s="80">
        <f>P8+P9+P10+P11</f>
        <v>-72833.34</v>
      </c>
      <c r="Q12" s="84">
        <v>0</v>
      </c>
      <c r="R12" s="79"/>
      <c r="S12" s="79">
        <f>S8+S9+S10+S11</f>
        <v>72833.34</v>
      </c>
      <c r="T12" s="80">
        <f>T8+T9+T10+T11</f>
        <v>-72833.34</v>
      </c>
      <c r="U12" s="84">
        <v>0</v>
      </c>
      <c r="V12" s="79"/>
      <c r="W12" s="79">
        <f>W8+W9+W10+W11</f>
        <v>72833.34</v>
      </c>
      <c r="X12" s="80">
        <f>X8+X9+X10+X11</f>
        <v>-72833.34</v>
      </c>
      <c r="Y12" s="84">
        <v>0</v>
      </c>
      <c r="Z12" s="79"/>
      <c r="AA12" s="79">
        <f>AA8+AA9+AA10+AA11</f>
        <v>72833.34</v>
      </c>
      <c r="AB12" s="80">
        <f>AB8+AB9+AB10+AB11</f>
        <v>-72833.34</v>
      </c>
      <c r="AC12" s="84">
        <v>0</v>
      </c>
      <c r="AD12" s="79"/>
      <c r="AE12" s="79">
        <f>AE8+AE9+AE10+AE11</f>
        <v>72833.34</v>
      </c>
      <c r="AF12" s="80">
        <f>AF8+AF9+AF10+AF11</f>
        <v>-72833.34</v>
      </c>
      <c r="AG12" s="84">
        <v>0</v>
      </c>
      <c r="AH12" s="79"/>
      <c r="AI12" s="79">
        <f>AI8+AI9+AI10+AI11</f>
        <v>72833.34</v>
      </c>
      <c r="AJ12" s="80">
        <f>AJ8+AJ9+AJ10+AJ11</f>
        <v>-72833.34</v>
      </c>
      <c r="AK12" s="84">
        <v>0</v>
      </c>
      <c r="AL12" s="79"/>
      <c r="AM12" s="79">
        <f>AM8+AM9+AM10+AM11</f>
        <v>72833.34</v>
      </c>
      <c r="AN12" s="80">
        <f>AN8+AN9+AN10+AN11</f>
        <v>-72833.34</v>
      </c>
      <c r="AO12" s="84">
        <v>0</v>
      </c>
      <c r="AP12" s="79"/>
      <c r="AQ12" s="79">
        <f>AQ8+AQ9+AQ10+AQ11</f>
        <v>72833.34</v>
      </c>
      <c r="AR12" s="80">
        <f>AR8+AR9+AR10+AR11</f>
        <v>-72833.34</v>
      </c>
      <c r="AS12" s="84">
        <v>0</v>
      </c>
      <c r="AT12" s="79"/>
      <c r="AU12" s="79">
        <f>AU8+AU9+AU10+AU11</f>
        <v>72833.26000000001</v>
      </c>
      <c r="AV12" s="80">
        <f>AV8+AV9+AV10+AV11</f>
        <v>-72833.26000000001</v>
      </c>
      <c r="AW12" s="84">
        <v>0</v>
      </c>
      <c r="AX12" s="87">
        <f>B12+F12+J12+N12+R12+V12+Z12+AD12+AH12+AL12+AP12+AT12</f>
        <v>119390.09</v>
      </c>
      <c r="AY12" s="87">
        <f>C12+G12+K12+O12+S12+W12+AA12+AE12+AI12+AM12+AQ12+AU12</f>
        <v>873999.9999999998</v>
      </c>
      <c r="AZ12" s="88">
        <f>D12+H12+L12+P12+T12+X12+AB12+AF12+AJ12+AN12+AR12+AV12</f>
        <v>-754609.9099999998</v>
      </c>
      <c r="BA12" s="84">
        <v>0.1366</v>
      </c>
    </row>
    <row r="13" spans="1:53" ht="16" outlineLevel="1">
      <c r="A13" s="64" t="s">
        <v>10</v>
      </c>
      <c r="B13" s="77"/>
      <c r="C13" s="78">
        <v>208.33</v>
      </c>
      <c r="D13" s="82">
        <v>-208.33</v>
      </c>
      <c r="E13" s="83">
        <v>0</v>
      </c>
      <c r="F13" s="77"/>
      <c r="G13" s="78">
        <v>208.33</v>
      </c>
      <c r="H13" s="82">
        <v>-208.33</v>
      </c>
      <c r="I13" s="83">
        <v>0</v>
      </c>
      <c r="J13" s="77"/>
      <c r="K13" s="78">
        <v>208.33</v>
      </c>
      <c r="L13" s="82">
        <v>-208.33</v>
      </c>
      <c r="M13" s="83">
        <v>0</v>
      </c>
      <c r="N13" s="77"/>
      <c r="O13" s="78">
        <v>208.33</v>
      </c>
      <c r="P13" s="82">
        <v>-208.33</v>
      </c>
      <c r="Q13" s="83">
        <v>0</v>
      </c>
      <c r="R13" s="77"/>
      <c r="S13" s="78">
        <v>208.33</v>
      </c>
      <c r="T13" s="82">
        <v>-208.33</v>
      </c>
      <c r="U13" s="83">
        <v>0</v>
      </c>
      <c r="V13" s="77"/>
      <c r="W13" s="78">
        <v>208.33</v>
      </c>
      <c r="X13" s="82">
        <v>-208.33</v>
      </c>
      <c r="Y13" s="83">
        <v>0</v>
      </c>
      <c r="Z13" s="77"/>
      <c r="AA13" s="78">
        <v>208.33</v>
      </c>
      <c r="AB13" s="82">
        <v>-208.33</v>
      </c>
      <c r="AC13" s="83">
        <v>0</v>
      </c>
      <c r="AD13" s="77"/>
      <c r="AE13" s="78">
        <v>208.33</v>
      </c>
      <c r="AF13" s="82">
        <v>-208.33</v>
      </c>
      <c r="AG13" s="83">
        <v>0</v>
      </c>
      <c r="AH13" s="77"/>
      <c r="AI13" s="78">
        <v>208.33</v>
      </c>
      <c r="AJ13" s="82">
        <v>-208.33</v>
      </c>
      <c r="AK13" s="83">
        <v>0</v>
      </c>
      <c r="AL13" s="77"/>
      <c r="AM13" s="78">
        <v>208.33</v>
      </c>
      <c r="AN13" s="82">
        <v>-208.33</v>
      </c>
      <c r="AO13" s="83">
        <v>0</v>
      </c>
      <c r="AP13" s="77"/>
      <c r="AQ13" s="78">
        <v>208.33</v>
      </c>
      <c r="AR13" s="82">
        <v>-208.33</v>
      </c>
      <c r="AS13" s="83">
        <v>0</v>
      </c>
      <c r="AT13" s="77"/>
      <c r="AU13" s="78">
        <v>208.37</v>
      </c>
      <c r="AV13" s="82">
        <v>-208.37</v>
      </c>
      <c r="AW13" s="83">
        <v>0</v>
      </c>
      <c r="AX13" s="77"/>
      <c r="AY13" s="78">
        <f>C13+G13+K13+O13+S13+W13+AA13+AE13+AI13+AM13+AQ13+AU13</f>
        <v>2499.9999999999995</v>
      </c>
      <c r="AZ13" s="82">
        <f>D13+H13+L13+P13+T13+X13+AB13+AF13+AJ13+AN13+AR13+AV13</f>
        <v>-2499.9999999999995</v>
      </c>
      <c r="BA13" s="89">
        <f>IFERROR(E13+I13+M13+Q13+U13+Y13+AC13+AG13+AK13+AO13+AS13+AW13,"")</f>
        <v>0.0</v>
      </c>
    </row>
    <row r="14" spans="1:53" ht="16">
      <c r="A14" s="67" t="s">
        <v>11</v>
      </c>
      <c r="B14" s="79">
        <f>B12+B13</f>
        <v>57325.64</v>
      </c>
      <c r="C14" s="79">
        <f>C12+C13</f>
        <v>73041.67</v>
      </c>
      <c r="D14" s="80">
        <f>D12+D13</f>
        <v>-15716.03</v>
      </c>
      <c r="E14" s="84">
        <v>0.7848</v>
      </c>
      <c r="F14" s="79">
        <f>F12+F13</f>
        <v>62064.45</v>
      </c>
      <c r="G14" s="79">
        <f>G12+G13</f>
        <v>73041.67</v>
      </c>
      <c r="H14" s="80">
        <f>H12+H13</f>
        <v>-10977.22</v>
      </c>
      <c r="I14" s="84">
        <v>0.8497</v>
      </c>
      <c r="J14" s="79"/>
      <c r="K14" s="79">
        <f>K12+K13</f>
        <v>73041.67</v>
      </c>
      <c r="L14" s="80">
        <f>L12+L13</f>
        <v>-73041.67</v>
      </c>
      <c r="M14" s="84">
        <v>0</v>
      </c>
      <c r="N14" s="79"/>
      <c r="O14" s="79">
        <f>O12+O13</f>
        <v>73041.67</v>
      </c>
      <c r="P14" s="80">
        <f>P12+P13</f>
        <v>-73041.67</v>
      </c>
      <c r="Q14" s="84">
        <v>0</v>
      </c>
      <c r="R14" s="79"/>
      <c r="S14" s="79">
        <f>S12+S13</f>
        <v>73041.67</v>
      </c>
      <c r="T14" s="80">
        <f>T12+T13</f>
        <v>-73041.67</v>
      </c>
      <c r="U14" s="84">
        <v>0</v>
      </c>
      <c r="V14" s="79"/>
      <c r="W14" s="79">
        <f>W12+W13</f>
        <v>73041.67</v>
      </c>
      <c r="X14" s="80">
        <f>X12+X13</f>
        <v>-73041.67</v>
      </c>
      <c r="Y14" s="84">
        <v>0</v>
      </c>
      <c r="Z14" s="79"/>
      <c r="AA14" s="79">
        <f>AA12+AA13</f>
        <v>73041.67</v>
      </c>
      <c r="AB14" s="80">
        <f>AB12+AB13</f>
        <v>-73041.67</v>
      </c>
      <c r="AC14" s="84">
        <v>0</v>
      </c>
      <c r="AD14" s="79"/>
      <c r="AE14" s="79">
        <f>AE12+AE13</f>
        <v>73041.67</v>
      </c>
      <c r="AF14" s="80">
        <f>AF12+AF13</f>
        <v>-73041.67</v>
      </c>
      <c r="AG14" s="84">
        <v>0</v>
      </c>
      <c r="AH14" s="79"/>
      <c r="AI14" s="79">
        <f>AI12+AI13</f>
        <v>73041.67</v>
      </c>
      <c r="AJ14" s="80">
        <f>AJ12+AJ13</f>
        <v>-73041.67</v>
      </c>
      <c r="AK14" s="84">
        <v>0</v>
      </c>
      <c r="AL14" s="79"/>
      <c r="AM14" s="79">
        <f>AM12+AM13</f>
        <v>73041.67</v>
      </c>
      <c r="AN14" s="80">
        <f>AN12+AN13</f>
        <v>-73041.67</v>
      </c>
      <c r="AO14" s="84">
        <v>0</v>
      </c>
      <c r="AP14" s="79"/>
      <c r="AQ14" s="79">
        <f>AQ12+AQ13</f>
        <v>73041.67</v>
      </c>
      <c r="AR14" s="80">
        <f>AR12+AR13</f>
        <v>-73041.67</v>
      </c>
      <c r="AS14" s="84">
        <v>0</v>
      </c>
      <c r="AT14" s="79"/>
      <c r="AU14" s="79">
        <f>AU12+AU13</f>
        <v>73041.63</v>
      </c>
      <c r="AV14" s="80">
        <f>AV12+AV13</f>
        <v>-73041.63</v>
      </c>
      <c r="AW14" s="84">
        <v>0</v>
      </c>
      <c r="AX14" s="87">
        <f>B14+F14+J14+N14+R14+V14+Z14+AD14+AH14+AL14+AP14+AT14</f>
        <v>119390.09</v>
      </c>
      <c r="AY14" s="87">
        <f>C14+G14+K14+O14+S14+W14+AA14+AE14+AI14+AM14+AQ14+AU14</f>
        <v>876500.0000000001</v>
      </c>
      <c r="AZ14" s="88">
        <f>D14+H14+L14+P14+T14+X14+AB14+AF14+AJ14+AN14+AR14+AV14</f>
        <v>-757109.91</v>
      </c>
      <c r="BA14" s="84">
        <v>0.1362</v>
      </c>
    </row>
    <row r="15" spans="1:53" ht="16">
      <c r="A15" s="63" t="s">
        <v>12</v>
      </c>
      <c r="B15" s="77"/>
      <c r="C15" s="77"/>
      <c r="D15" s="77"/>
      <c r="E15" s="77" t="s">
        <v>4</v>
      </c>
      <c r="F15" s="77"/>
      <c r="G15" s="77"/>
      <c r="H15" s="77"/>
      <c r="I15" s="77" t="s">
        <v>4</v>
      </c>
      <c r="J15" s="77"/>
      <c r="K15" s="77"/>
      <c r="L15" s="77"/>
      <c r="M15" s="77" t="s">
        <v>4</v>
      </c>
      <c r="N15" s="77"/>
      <c r="O15" s="77"/>
      <c r="P15" s="77"/>
      <c r="Q15" s="77" t="s">
        <v>4</v>
      </c>
      <c r="R15" s="77"/>
      <c r="S15" s="77"/>
      <c r="T15" s="77"/>
      <c r="U15" s="77" t="s">
        <v>4</v>
      </c>
      <c r="V15" s="77"/>
      <c r="W15" s="77"/>
      <c r="X15" s="77"/>
      <c r="Y15" s="77" t="s">
        <v>4</v>
      </c>
      <c r="Z15" s="77"/>
      <c r="AA15" s="77"/>
      <c r="AB15" s="77"/>
      <c r="AC15" s="77" t="s">
        <v>4</v>
      </c>
      <c r="AD15" s="77"/>
      <c r="AE15" s="77"/>
      <c r="AF15" s="77"/>
      <c r="AG15" s="77" t="s">
        <v>4</v>
      </c>
      <c r="AH15" s="77"/>
      <c r="AI15" s="77"/>
      <c r="AJ15" s="77"/>
      <c r="AK15" s="77" t="s">
        <v>4</v>
      </c>
      <c r="AL15" s="77"/>
      <c r="AM15" s="77"/>
      <c r="AN15" s="77"/>
      <c r="AO15" s="77" t="s">
        <v>4</v>
      </c>
      <c r="AP15" s="77"/>
      <c r="AQ15" s="77"/>
      <c r="AR15" s="77"/>
      <c r="AS15" s="77" t="s">
        <v>4</v>
      </c>
      <c r="AT15" s="77"/>
      <c r="AU15" s="77"/>
      <c r="AV15" s="77"/>
      <c r="AW15" s="77" t="s">
        <v>4</v>
      </c>
      <c r="AX15" s="77"/>
      <c r="AY15" s="77"/>
      <c r="AZ15" s="77"/>
      <c r="BA15" s="77" t="s">
        <v>4</v>
      </c>
    </row>
    <row r="16" spans="1:53" ht="16">
      <c r="A16" s="67" t="s">
        <v>13</v>
      </c>
      <c r="B16" s="79">
        <f>B14-B15</f>
        <v>57325.64</v>
      </c>
      <c r="C16" s="79">
        <f>C14-C15</f>
        <v>73041.67</v>
      </c>
      <c r="D16" s="80">
        <f>D14-D15</f>
        <v>-15716.03</v>
      </c>
      <c r="E16" s="84">
        <v>0.7848</v>
      </c>
      <c r="F16" s="79">
        <f>F14-F15</f>
        <v>62064.45</v>
      </c>
      <c r="G16" s="79">
        <f>G14-G15</f>
        <v>73041.67</v>
      </c>
      <c r="H16" s="80">
        <f>H14-H15</f>
        <v>-10977.22</v>
      </c>
      <c r="I16" s="84">
        <v>0.8497</v>
      </c>
      <c r="J16" s="79"/>
      <c r="K16" s="79">
        <f>K14-K15</f>
        <v>73041.67</v>
      </c>
      <c r="L16" s="80">
        <f>L14-L15</f>
        <v>-73041.67</v>
      </c>
      <c r="M16" s="84">
        <v>0</v>
      </c>
      <c r="N16" s="79"/>
      <c r="O16" s="79">
        <f>O14-O15</f>
        <v>73041.67</v>
      </c>
      <c r="P16" s="80">
        <f>P14-P15</f>
        <v>-73041.67</v>
      </c>
      <c r="Q16" s="84">
        <v>0</v>
      </c>
      <c r="R16" s="79"/>
      <c r="S16" s="79">
        <f>S14-S15</f>
        <v>73041.67</v>
      </c>
      <c r="T16" s="80">
        <f>T14-T15</f>
        <v>-73041.67</v>
      </c>
      <c r="U16" s="84">
        <v>0</v>
      </c>
      <c r="V16" s="79"/>
      <c r="W16" s="79">
        <f>W14-W15</f>
        <v>73041.67</v>
      </c>
      <c r="X16" s="80">
        <f>X14-X15</f>
        <v>-73041.67</v>
      </c>
      <c r="Y16" s="84">
        <v>0</v>
      </c>
      <c r="Z16" s="79"/>
      <c r="AA16" s="79">
        <f>AA14-AA15</f>
        <v>73041.67</v>
      </c>
      <c r="AB16" s="80">
        <f>AB14-AB15</f>
        <v>-73041.67</v>
      </c>
      <c r="AC16" s="84">
        <v>0</v>
      </c>
      <c r="AD16" s="79"/>
      <c r="AE16" s="79">
        <f>AE14-AE15</f>
        <v>73041.67</v>
      </c>
      <c r="AF16" s="80">
        <f>AF14-AF15</f>
        <v>-73041.67</v>
      </c>
      <c r="AG16" s="84">
        <v>0</v>
      </c>
      <c r="AH16" s="79"/>
      <c r="AI16" s="79">
        <f>AI14-AI15</f>
        <v>73041.67</v>
      </c>
      <c r="AJ16" s="80">
        <f>AJ14-AJ15</f>
        <v>-73041.67</v>
      </c>
      <c r="AK16" s="84">
        <v>0</v>
      </c>
      <c r="AL16" s="79"/>
      <c r="AM16" s="79">
        <f>AM14-AM15</f>
        <v>73041.67</v>
      </c>
      <c r="AN16" s="80">
        <f>AN14-AN15</f>
        <v>-73041.67</v>
      </c>
      <c r="AO16" s="84">
        <v>0</v>
      </c>
      <c r="AP16" s="79"/>
      <c r="AQ16" s="79">
        <f>AQ14-AQ15</f>
        <v>73041.67</v>
      </c>
      <c r="AR16" s="80">
        <f>AR14-AR15</f>
        <v>-73041.67</v>
      </c>
      <c r="AS16" s="84">
        <v>0</v>
      </c>
      <c r="AT16" s="79"/>
      <c r="AU16" s="79">
        <f>AU14-AU15</f>
        <v>73041.63</v>
      </c>
      <c r="AV16" s="80">
        <f>AV14-AV15</f>
        <v>-73041.63</v>
      </c>
      <c r="AW16" s="84">
        <v>0</v>
      </c>
      <c r="AX16" s="87">
        <f>B16+F16+J16+N16+R16+V16+Z16+AD16+AH16+AL16+AP16+AT16</f>
        <v>119390.09</v>
      </c>
      <c r="AY16" s="87">
        <f>C16+G16+K16+O16+S16+W16+AA16+AE16+AI16+AM16+AQ16+AU16</f>
        <v>876500.0000000001</v>
      </c>
      <c r="AZ16" s="88">
        <f>D16+H16+L16+P16+T16+X16+AB16+AF16+AJ16+AN16+AR16+AV16</f>
        <v>-757109.91</v>
      </c>
      <c r="BA16" s="84">
        <v>0.1362</v>
      </c>
    </row>
    <row r="17" spans="1:49" ht="16">
      <c r="A17" s="63" t="s">
        <v>14</v>
      </c>
      <c r="B17" s="77"/>
      <c r="C17" s="77"/>
      <c r="D17" s="77"/>
      <c r="E17" s="77" t="s">
        <v>4</v>
      </c>
      <c r="F17" s="77"/>
      <c r="G17" s="77"/>
      <c r="H17" s="77"/>
      <c r="I17" s="77" t="s">
        <v>4</v>
      </c>
      <c r="J17" s="77"/>
      <c r="K17" s="77"/>
      <c r="L17" s="77"/>
      <c r="M17" s="77" t="s">
        <v>4</v>
      </c>
      <c r="N17" s="77"/>
      <c r="O17" s="77"/>
      <c r="P17" s="77"/>
      <c r="Q17" s="77" t="s">
        <v>4</v>
      </c>
      <c r="R17" s="77"/>
      <c r="S17" s="77"/>
      <c r="T17" s="77"/>
      <c r="U17" s="77" t="s">
        <v>4</v>
      </c>
      <c r="V17" s="77"/>
      <c r="W17" s="77"/>
      <c r="X17" s="77"/>
      <c r="Y17" s="77" t="s">
        <v>4</v>
      </c>
      <c r="Z17" s="77"/>
      <c r="AA17" s="77"/>
      <c r="AB17" s="77"/>
      <c r="AC17" s="77" t="s">
        <v>4</v>
      </c>
      <c r="AD17" s="77"/>
      <c r="AE17" s="77"/>
      <c r="AF17" s="77"/>
      <c r="AG17" s="77" t="s">
        <v>4</v>
      </c>
      <c r="AH17" s="77"/>
      <c r="AI17" s="77"/>
      <c r="AJ17" s="77"/>
      <c r="AK17" s="77" t="s">
        <v>4</v>
      </c>
      <c r="AL17" s="77"/>
      <c r="AM17" s="77"/>
      <c r="AN17" s="77"/>
      <c r="AO17" s="77" t="s">
        <v>4</v>
      </c>
      <c r="AP17" s="77"/>
      <c r="AQ17" s="77"/>
      <c r="AR17" s="77"/>
      <c r="AS17" s="77" t="s">
        <v>4</v>
      </c>
      <c r="AT17" s="77"/>
      <c r="AU17" s="77"/>
      <c r="AV17" s="77"/>
      <c r="AW17" s="77" t="s">
        <v>4</v>
      </c>
    </row>
    <row r="18" spans="1:53" ht="16" outlineLevel="1">
      <c r="A18" s="64" t="s">
        <v>15</v>
      </c>
      <c r="B18" s="78">
        <v>1865.0</v>
      </c>
      <c r="C18" s="78">
        <v>150.0</v>
      </c>
      <c r="D18" s="78">
        <v>1715.0</v>
      </c>
      <c r="E18" s="83">
        <v>12.4333</v>
      </c>
      <c r="F18" s="77"/>
      <c r="G18" s="78">
        <v>150.0</v>
      </c>
      <c r="H18" s="82">
        <v>-150.0</v>
      </c>
      <c r="I18" s="83">
        <v>0</v>
      </c>
      <c r="J18" s="77"/>
      <c r="K18" s="78">
        <v>150.0</v>
      </c>
      <c r="L18" s="82">
        <v>-150.0</v>
      </c>
      <c r="M18" s="83">
        <v>0</v>
      </c>
      <c r="N18" s="77"/>
      <c r="O18" s="78">
        <v>150.0</v>
      </c>
      <c r="P18" s="82">
        <v>-150.0</v>
      </c>
      <c r="Q18" s="83">
        <v>0</v>
      </c>
      <c r="R18" s="77"/>
      <c r="S18" s="78">
        <v>150.0</v>
      </c>
      <c r="T18" s="82">
        <v>-150.0</v>
      </c>
      <c r="U18" s="83">
        <v>0</v>
      </c>
      <c r="V18" s="77"/>
      <c r="W18" s="78">
        <v>150.0</v>
      </c>
      <c r="X18" s="82">
        <v>-150.0</v>
      </c>
      <c r="Y18" s="83">
        <v>0</v>
      </c>
      <c r="Z18" s="77"/>
      <c r="AA18" s="78">
        <v>150.0</v>
      </c>
      <c r="AB18" s="82">
        <v>-150.0</v>
      </c>
      <c r="AC18" s="83">
        <v>0</v>
      </c>
      <c r="AD18" s="77"/>
      <c r="AE18" s="78">
        <v>150.0</v>
      </c>
      <c r="AF18" s="82">
        <v>-150.0</v>
      </c>
      <c r="AG18" s="83">
        <v>0</v>
      </c>
      <c r="AH18" s="77"/>
      <c r="AI18" s="78">
        <v>150.0</v>
      </c>
      <c r="AJ18" s="82">
        <v>-150.0</v>
      </c>
      <c r="AK18" s="83">
        <v>0</v>
      </c>
      <c r="AL18" s="77"/>
      <c r="AM18" s="78">
        <v>150.0</v>
      </c>
      <c r="AN18" s="82">
        <v>-150.0</v>
      </c>
      <c r="AO18" s="83">
        <v>0</v>
      </c>
      <c r="AP18" s="77"/>
      <c r="AQ18" s="78">
        <v>150.0</v>
      </c>
      <c r="AR18" s="82">
        <v>-150.0</v>
      </c>
      <c r="AS18" s="83">
        <v>0</v>
      </c>
      <c r="AT18" s="77"/>
      <c r="AU18" s="78">
        <v>150.0</v>
      </c>
      <c r="AV18" s="82">
        <v>-150.0</v>
      </c>
      <c r="AW18" s="83">
        <v>0</v>
      </c>
      <c r="AX18" s="78">
        <f>B18+F18+J18+N18+R18+V18+Z18+AD18+AH18+AL18+AP18+AT18</f>
        <v>1865.0</v>
      </c>
      <c r="AY18" s="78">
        <f>C18+G18+K18+O18+S18+W18+AA18+AE18+AI18+AM18+AQ18+AU18</f>
        <v>1800.0</v>
      </c>
      <c r="AZ18" s="78">
        <f>D18+H18+L18+P18+T18+X18+AB18+AF18+AJ18+AN18+AR18+AV18</f>
        <v>65.0</v>
      </c>
      <c r="BA18" s="83">
        <v>1.0361</v>
      </c>
    </row>
    <row r="19" spans="1:53" ht="16" outlineLevel="1">
      <c r="A19" s="64" t="s">
        <v>16</v>
      </c>
      <c r="B19" s="77"/>
      <c r="C19" s="77"/>
      <c r="D19" s="77"/>
      <c r="E19" s="77" t="s">
        <v>4</v>
      </c>
      <c r="F19" s="77"/>
      <c r="G19" s="77"/>
      <c r="H19" s="77"/>
      <c r="I19" s="77" t="s">
        <v>4</v>
      </c>
      <c r="J19" s="77"/>
      <c r="K19" s="77"/>
      <c r="L19" s="77"/>
      <c r="M19" s="77" t="s">
        <v>4</v>
      </c>
      <c r="N19" s="77"/>
      <c r="O19" s="77"/>
      <c r="P19" s="77"/>
      <c r="Q19" s="77" t="s">
        <v>4</v>
      </c>
      <c r="R19" s="77"/>
      <c r="S19" s="77"/>
      <c r="T19" s="77"/>
      <c r="U19" s="77" t="s">
        <v>4</v>
      </c>
      <c r="V19" s="77"/>
      <c r="W19" s="77"/>
      <c r="X19" s="77"/>
      <c r="Y19" s="77" t="s">
        <v>4</v>
      </c>
      <c r="Z19" s="77"/>
      <c r="AA19" s="77"/>
      <c r="AB19" s="77"/>
      <c r="AC19" s="77" t="s">
        <v>4</v>
      </c>
      <c r="AD19" s="77"/>
      <c r="AE19" s="77"/>
      <c r="AF19" s="77"/>
      <c r="AG19" s="77" t="s">
        <v>4</v>
      </c>
      <c r="AH19" s="77"/>
      <c r="AI19" s="77"/>
      <c r="AJ19" s="77"/>
      <c r="AK19" s="77" t="s">
        <v>4</v>
      </c>
      <c r="AL19" s="77"/>
      <c r="AM19" s="77"/>
      <c r="AN19" s="77"/>
      <c r="AO19" s="77" t="s">
        <v>4</v>
      </c>
      <c r="AP19" s="77"/>
      <c r="AQ19" s="77"/>
      <c r="AR19" s="77"/>
      <c r="AS19" s="77" t="s">
        <v>4</v>
      </c>
      <c r="AT19" s="77"/>
      <c r="AU19" s="77"/>
      <c r="AV19" s="77"/>
      <c r="AW19" s="77" t="s">
        <v>4</v>
      </c>
      <c r="AX19" s="77"/>
      <c r="AY19" s="77"/>
      <c r="AZ19" s="77"/>
      <c r="BA19" s="77" t="s">
        <v>4</v>
      </c>
    </row>
    <row r="20" spans="1:53" ht="16" outlineLevel="2">
      <c r="A20" s="65" t="s">
        <v>17</v>
      </c>
      <c r="B20" s="77"/>
      <c r="C20" s="78">
        <v>3600.0</v>
      </c>
      <c r="D20" s="82">
        <v>-3600.0</v>
      </c>
      <c r="E20" s="83">
        <v>0</v>
      </c>
      <c r="F20" s="78">
        <v>3428.56</v>
      </c>
      <c r="G20" s="78">
        <v>3600.0</v>
      </c>
      <c r="H20" s="82">
        <v>-171.44000000000005</v>
      </c>
      <c r="I20" s="83">
        <v>0.9523999999999999</v>
      </c>
      <c r="J20" s="77"/>
      <c r="K20" s="78">
        <v>3600.0</v>
      </c>
      <c r="L20" s="82">
        <v>-3600.0</v>
      </c>
      <c r="M20" s="83">
        <v>0</v>
      </c>
      <c r="N20" s="77"/>
      <c r="O20" s="78">
        <v>3600.0</v>
      </c>
      <c r="P20" s="82">
        <v>-3600.0</v>
      </c>
      <c r="Q20" s="83">
        <v>0</v>
      </c>
      <c r="R20" s="77"/>
      <c r="S20" s="78">
        <v>3600.0</v>
      </c>
      <c r="T20" s="82">
        <v>-3600.0</v>
      </c>
      <c r="U20" s="83">
        <v>0</v>
      </c>
      <c r="V20" s="77"/>
      <c r="W20" s="78">
        <v>3600.0</v>
      </c>
      <c r="X20" s="82">
        <v>-3600.0</v>
      </c>
      <c r="Y20" s="83">
        <v>0</v>
      </c>
      <c r="Z20" s="77"/>
      <c r="AA20" s="78">
        <v>3600.0</v>
      </c>
      <c r="AB20" s="82">
        <v>-3600.0</v>
      </c>
      <c r="AC20" s="83">
        <v>0</v>
      </c>
      <c r="AD20" s="77"/>
      <c r="AE20" s="78">
        <v>3600.0</v>
      </c>
      <c r="AF20" s="82">
        <v>-3600.0</v>
      </c>
      <c r="AG20" s="83">
        <v>0</v>
      </c>
      <c r="AH20" s="77"/>
      <c r="AI20" s="78">
        <v>3600.0</v>
      </c>
      <c r="AJ20" s="82">
        <v>-3600.0</v>
      </c>
      <c r="AK20" s="83">
        <v>0</v>
      </c>
      <c r="AL20" s="77"/>
      <c r="AM20" s="78">
        <v>3600.0</v>
      </c>
      <c r="AN20" s="82">
        <v>-3600.0</v>
      </c>
      <c r="AO20" s="83">
        <v>0</v>
      </c>
      <c r="AP20" s="77"/>
      <c r="AQ20" s="78">
        <v>3600.0</v>
      </c>
      <c r="AR20" s="82">
        <v>-3600.0</v>
      </c>
      <c r="AS20" s="83">
        <v>0</v>
      </c>
      <c r="AT20" s="77"/>
      <c r="AU20" s="78">
        <v>3600.0</v>
      </c>
      <c r="AV20" s="82">
        <v>-3600.0</v>
      </c>
      <c r="AW20" s="83">
        <v>0</v>
      </c>
      <c r="AX20" s="78">
        <f>B20+F20+J20+N20+R20+V20+Z20+AD20+AH20+AL20+AP20+AT20</f>
        <v>3428.56</v>
      </c>
      <c r="AY20" s="78">
        <f>C20+G20+K20+O20+S20+W20+AA20+AE20+AI20+AM20+AQ20+AU20</f>
        <v>43200.0</v>
      </c>
      <c r="AZ20" s="82">
        <f>D20+H20+L20+P20+T20+X20+AB20+AF20+AJ20+AN20+AR20+AV20</f>
        <v>-39771.44</v>
      </c>
      <c r="BA20" s="90">
        <v>0.0794</v>
      </c>
    </row>
    <row r="21" spans="1:53" ht="16" outlineLevel="1">
      <c r="A21" s="66" t="s">
        <v>18</v>
      </c>
      <c r="B21" s="79"/>
      <c r="C21" s="79">
        <f>C19+C20</f>
        <v>3600.0</v>
      </c>
      <c r="D21" s="80">
        <f>D19+D20</f>
        <v>-3600.0</v>
      </c>
      <c r="E21" s="84">
        <v>0</v>
      </c>
      <c r="F21" s="79">
        <f>F19+F20</f>
        <v>3428.56</v>
      </c>
      <c r="G21" s="79">
        <f>G19+G20</f>
        <v>3600.0</v>
      </c>
      <c r="H21" s="80">
        <f>H19+H20</f>
        <v>-171.44000000000005</v>
      </c>
      <c r="I21" s="84">
        <v>0.9523999999999999</v>
      </c>
      <c r="J21" s="79"/>
      <c r="K21" s="79">
        <f>K19+K20</f>
        <v>3600.0</v>
      </c>
      <c r="L21" s="80">
        <f>L19+L20</f>
        <v>-3600.0</v>
      </c>
      <c r="M21" s="84">
        <v>0</v>
      </c>
      <c r="N21" s="79"/>
      <c r="O21" s="79">
        <f>O19+O20</f>
        <v>3600.0</v>
      </c>
      <c r="P21" s="80">
        <f>P19+P20</f>
        <v>-3600.0</v>
      </c>
      <c r="Q21" s="84">
        <v>0</v>
      </c>
      <c r="R21" s="79"/>
      <c r="S21" s="79">
        <f>S19+S20</f>
        <v>3600.0</v>
      </c>
      <c r="T21" s="80">
        <f>T19+T20</f>
        <v>-3600.0</v>
      </c>
      <c r="U21" s="84">
        <v>0</v>
      </c>
      <c r="V21" s="79"/>
      <c r="W21" s="79">
        <f>W19+W20</f>
        <v>3600.0</v>
      </c>
      <c r="X21" s="80">
        <f>X19+X20</f>
        <v>-3600.0</v>
      </c>
      <c r="Y21" s="84">
        <v>0</v>
      </c>
      <c r="Z21" s="79"/>
      <c r="AA21" s="79">
        <f>AA19+AA20</f>
        <v>3600.0</v>
      </c>
      <c r="AB21" s="80">
        <f>AB19+AB20</f>
        <v>-3600.0</v>
      </c>
      <c r="AC21" s="84">
        <v>0</v>
      </c>
      <c r="AD21" s="79"/>
      <c r="AE21" s="79">
        <f>AE19+AE20</f>
        <v>3600.0</v>
      </c>
      <c r="AF21" s="80">
        <f>AF19+AF20</f>
        <v>-3600.0</v>
      </c>
      <c r="AG21" s="84">
        <v>0</v>
      </c>
      <c r="AH21" s="79"/>
      <c r="AI21" s="79">
        <f>AI19+AI20</f>
        <v>3600.0</v>
      </c>
      <c r="AJ21" s="80">
        <f>AJ19+AJ20</f>
        <v>-3600.0</v>
      </c>
      <c r="AK21" s="84">
        <v>0</v>
      </c>
      <c r="AL21" s="79"/>
      <c r="AM21" s="79">
        <f>AM19+AM20</f>
        <v>3600.0</v>
      </c>
      <c r="AN21" s="80">
        <f>AN19+AN20</f>
        <v>-3600.0</v>
      </c>
      <c r="AO21" s="84">
        <v>0</v>
      </c>
      <c r="AP21" s="79"/>
      <c r="AQ21" s="79">
        <f>AQ19+AQ20</f>
        <v>3600.0</v>
      </c>
      <c r="AR21" s="80">
        <f>AR19+AR20</f>
        <v>-3600.0</v>
      </c>
      <c r="AS21" s="84">
        <v>0</v>
      </c>
      <c r="AT21" s="79"/>
      <c r="AU21" s="79">
        <f>AU19+AU20</f>
        <v>3600.0</v>
      </c>
      <c r="AV21" s="80">
        <f>AV19+AV20</f>
        <v>-3600.0</v>
      </c>
      <c r="AW21" s="84">
        <v>0</v>
      </c>
      <c r="AX21" s="87">
        <f>B21+F21+J21+N21+R21+V21+Z21+AD21+AH21+AL21+AP21+AT21</f>
        <v>3428.56</v>
      </c>
      <c r="AY21" s="87">
        <f>C21+G21+K21+O21+S21+W21+AA21+AE21+AI21+AM21+AQ21+AU21</f>
        <v>43200.0</v>
      </c>
      <c r="AZ21" s="88">
        <f>D21+H21+L21+P21+T21+X21+AB21+AF21+AJ21+AN21+AR21+AV21</f>
        <v>-39771.44</v>
      </c>
      <c r="BA21" s="84">
        <v>0.0794</v>
      </c>
    </row>
    <row r="22" spans="1:53" ht="16" outlineLevel="1">
      <c r="A22" s="64" t="s">
        <v>19</v>
      </c>
      <c r="B22" s="77"/>
      <c r="C22" s="77"/>
      <c r="D22" s="77"/>
      <c r="E22" s="77" t="s">
        <v>4</v>
      </c>
      <c r="F22" s="78">
        <v>720.0</v>
      </c>
      <c r="G22" s="77"/>
      <c r="H22" s="78">
        <v>720.0</v>
      </c>
      <c r="I22" s="77" t="s">
        <v>4</v>
      </c>
      <c r="J22" s="77"/>
      <c r="K22" s="77"/>
      <c r="L22" s="77"/>
      <c r="M22" s="77" t="s">
        <v>4</v>
      </c>
      <c r="N22" s="77"/>
      <c r="O22" s="77"/>
      <c r="P22" s="77"/>
      <c r="Q22" s="77" t="s">
        <v>4</v>
      </c>
      <c r="R22" s="77"/>
      <c r="S22" s="77"/>
      <c r="T22" s="77"/>
      <c r="U22" s="77" t="s">
        <v>4</v>
      </c>
      <c r="V22" s="77"/>
      <c r="W22" s="77"/>
      <c r="X22" s="77"/>
      <c r="Y22" s="77" t="s">
        <v>4</v>
      </c>
      <c r="Z22" s="77"/>
      <c r="AA22" s="77"/>
      <c r="AB22" s="77"/>
      <c r="AC22" s="77" t="s">
        <v>4</v>
      </c>
      <c r="AD22" s="77"/>
      <c r="AE22" s="77"/>
      <c r="AF22" s="77"/>
      <c r="AG22" s="77" t="s">
        <v>4</v>
      </c>
      <c r="AH22" s="77"/>
      <c r="AI22" s="77"/>
      <c r="AJ22" s="77"/>
      <c r="AK22" s="77" t="s">
        <v>4</v>
      </c>
      <c r="AL22" s="77"/>
      <c r="AM22" s="77"/>
      <c r="AN22" s="77"/>
      <c r="AO22" s="77" t="s">
        <v>4</v>
      </c>
      <c r="AP22" s="77"/>
      <c r="AQ22" s="77"/>
      <c r="AR22" s="77"/>
      <c r="AS22" s="77" t="s">
        <v>4</v>
      </c>
      <c r="AT22" s="77"/>
      <c r="AU22" s="77"/>
      <c r="AV22" s="77"/>
      <c r="AW22" s="77" t="s">
        <v>4</v>
      </c>
      <c r="AX22" s="78">
        <f>B22+F22+J22+N22+R22+V22+Z22+AD22+AH22+AL22+AP22+AT22</f>
        <v>720.0</v>
      </c>
      <c r="AY22" s="77"/>
      <c r="AZ22" s="78">
        <f>D22+H22+L22+P22+T22+X22+AB22+AF22+AJ22+AN22+AR22+AV22</f>
        <v>720.0</v>
      </c>
      <c r="BA22" s="77" t="s">
        <v>4</v>
      </c>
    </row>
    <row r="23" spans="1:53" ht="16" outlineLevel="1">
      <c r="A23" s="64" t="s">
        <v>20</v>
      </c>
      <c r="B23" s="77"/>
      <c r="C23" s="77"/>
      <c r="D23" s="77"/>
      <c r="E23" s="77" t="s">
        <v>4</v>
      </c>
      <c r="F23" s="77"/>
      <c r="G23" s="77"/>
      <c r="H23" s="77"/>
      <c r="I23" s="77" t="s">
        <v>4</v>
      </c>
      <c r="J23" s="77"/>
      <c r="K23" s="77"/>
      <c r="L23" s="77"/>
      <c r="M23" s="77" t="s">
        <v>4</v>
      </c>
      <c r="N23" s="77"/>
      <c r="O23" s="77"/>
      <c r="P23" s="77"/>
      <c r="Q23" s="77" t="s">
        <v>4</v>
      </c>
      <c r="R23" s="77"/>
      <c r="S23" s="77"/>
      <c r="T23" s="77"/>
      <c r="U23" s="77" t="s">
        <v>4</v>
      </c>
      <c r="V23" s="77"/>
      <c r="W23" s="77"/>
      <c r="X23" s="77"/>
      <c r="Y23" s="77" t="s">
        <v>4</v>
      </c>
      <c r="Z23" s="77"/>
      <c r="AA23" s="77"/>
      <c r="AB23" s="77"/>
      <c r="AC23" s="77" t="s">
        <v>4</v>
      </c>
      <c r="AD23" s="77"/>
      <c r="AE23" s="77"/>
      <c r="AF23" s="77"/>
      <c r="AG23" s="77" t="s">
        <v>4</v>
      </c>
      <c r="AH23" s="77"/>
      <c r="AI23" s="77"/>
      <c r="AJ23" s="77"/>
      <c r="AK23" s="77" t="s">
        <v>4</v>
      </c>
      <c r="AL23" s="77"/>
      <c r="AM23" s="77"/>
      <c r="AN23" s="77"/>
      <c r="AO23" s="77" t="s">
        <v>4</v>
      </c>
      <c r="AP23" s="77"/>
      <c r="AQ23" s="77"/>
      <c r="AR23" s="77"/>
      <c r="AS23" s="77" t="s">
        <v>4</v>
      </c>
      <c r="AT23" s="77"/>
      <c r="AU23" s="77"/>
      <c r="AV23" s="77"/>
      <c r="AW23" s="77" t="s">
        <v>4</v>
      </c>
      <c r="AX23" s="77"/>
      <c r="AY23" s="77"/>
      <c r="AZ23" s="77"/>
      <c r="BA23" s="77" t="s">
        <v>4</v>
      </c>
    </row>
    <row r="24" spans="1:53" ht="16" outlineLevel="2">
      <c r="A24" s="65" t="s">
        <v>21</v>
      </c>
      <c r="B24" s="78">
        <v>337.2</v>
      </c>
      <c r="C24" s="77"/>
      <c r="D24" s="78">
        <v>337.2</v>
      </c>
      <c r="E24" s="77" t="s">
        <v>4</v>
      </c>
      <c r="F24" s="78">
        <v>337.2</v>
      </c>
      <c r="G24" s="77"/>
      <c r="H24" s="78">
        <v>337.2</v>
      </c>
      <c r="I24" s="77" t="s">
        <v>4</v>
      </c>
      <c r="J24" s="77"/>
      <c r="K24" s="77"/>
      <c r="L24" s="77"/>
      <c r="M24" s="77" t="s">
        <v>4</v>
      </c>
      <c r="N24" s="77"/>
      <c r="O24" s="77"/>
      <c r="P24" s="77"/>
      <c r="Q24" s="77" t="s">
        <v>4</v>
      </c>
      <c r="R24" s="77"/>
      <c r="S24" s="77"/>
      <c r="T24" s="77"/>
      <c r="U24" s="77" t="s">
        <v>4</v>
      </c>
      <c r="V24" s="77"/>
      <c r="W24" s="77"/>
      <c r="X24" s="77"/>
      <c r="Y24" s="77" t="s">
        <v>4</v>
      </c>
      <c r="Z24" s="77"/>
      <c r="AA24" s="77"/>
      <c r="AB24" s="77"/>
      <c r="AC24" s="77" t="s">
        <v>4</v>
      </c>
      <c r="AD24" s="77"/>
      <c r="AE24" s="77"/>
      <c r="AF24" s="77"/>
      <c r="AG24" s="77" t="s">
        <v>4</v>
      </c>
      <c r="AH24" s="77"/>
      <c r="AI24" s="77"/>
      <c r="AJ24" s="77"/>
      <c r="AK24" s="77" t="s">
        <v>4</v>
      </c>
      <c r="AL24" s="77"/>
      <c r="AM24" s="77"/>
      <c r="AN24" s="77"/>
      <c r="AO24" s="77" t="s">
        <v>4</v>
      </c>
      <c r="AP24" s="77"/>
      <c r="AQ24" s="77"/>
      <c r="AR24" s="77"/>
      <c r="AS24" s="77" t="s">
        <v>4</v>
      </c>
      <c r="AT24" s="77"/>
      <c r="AU24" s="77"/>
      <c r="AV24" s="77"/>
      <c r="AW24" s="77" t="s">
        <v>4</v>
      </c>
      <c r="AX24" s="78">
        <f>B24+F24+J24+N24+R24+V24+Z24+AD24+AH24+AL24+AP24+AT24</f>
        <v>674.4</v>
      </c>
      <c r="AY24" s="77"/>
      <c r="AZ24" s="78">
        <f>D24+H24+L24+P24+T24+X24+AB24+AF24+AJ24+AN24+AR24+AV24</f>
        <v>674.4</v>
      </c>
      <c r="BA24" s="77" t="s">
        <v>4</v>
      </c>
    </row>
    <row r="25" spans="1:53" ht="16" outlineLevel="1">
      <c r="A25" s="66" t="s">
        <v>22</v>
      </c>
      <c r="B25" s="79">
        <f>B23+B24</f>
        <v>337.2</v>
      </c>
      <c r="C25" s="79"/>
      <c r="D25" s="79">
        <f>D23+D24</f>
        <v>337.2</v>
      </c>
      <c r="E25" s="85" t="s">
        <v>4</v>
      </c>
      <c r="F25" s="79">
        <f>F23+F24</f>
        <v>337.2</v>
      </c>
      <c r="G25" s="79"/>
      <c r="H25" s="79">
        <f>H23+H24</f>
        <v>337.2</v>
      </c>
      <c r="I25" s="85" t="s">
        <v>4</v>
      </c>
      <c r="J25" s="79"/>
      <c r="K25" s="79"/>
      <c r="L25" s="79"/>
      <c r="M25" s="85" t="s">
        <v>4</v>
      </c>
      <c r="N25" s="79"/>
      <c r="O25" s="79"/>
      <c r="P25" s="79"/>
      <c r="Q25" s="85" t="s">
        <v>4</v>
      </c>
      <c r="R25" s="79"/>
      <c r="S25" s="79"/>
      <c r="T25" s="79"/>
      <c r="U25" s="85" t="s">
        <v>4</v>
      </c>
      <c r="V25" s="79"/>
      <c r="W25" s="79"/>
      <c r="X25" s="79"/>
      <c r="Y25" s="85" t="s">
        <v>4</v>
      </c>
      <c r="Z25" s="79"/>
      <c r="AA25" s="79"/>
      <c r="AB25" s="79"/>
      <c r="AC25" s="85" t="s">
        <v>4</v>
      </c>
      <c r="AD25" s="79"/>
      <c r="AE25" s="79"/>
      <c r="AF25" s="79"/>
      <c r="AG25" s="85" t="s">
        <v>4</v>
      </c>
      <c r="AH25" s="79"/>
      <c r="AI25" s="79"/>
      <c r="AJ25" s="79"/>
      <c r="AK25" s="85" t="s">
        <v>4</v>
      </c>
      <c r="AL25" s="79"/>
      <c r="AM25" s="79"/>
      <c r="AN25" s="79"/>
      <c r="AO25" s="85" t="s">
        <v>4</v>
      </c>
      <c r="AP25" s="79"/>
      <c r="AQ25" s="79"/>
      <c r="AR25" s="79"/>
      <c r="AS25" s="85" t="s">
        <v>4</v>
      </c>
      <c r="AT25" s="79"/>
      <c r="AU25" s="79"/>
      <c r="AV25" s="79"/>
      <c r="AW25" s="85" t="s">
        <v>4</v>
      </c>
      <c r="AX25" s="87">
        <f>B25+F25+J25+N25+R25+V25+Z25+AD25+AH25+AL25+AP25+AT25</f>
        <v>674.4</v>
      </c>
      <c r="AY25" s="79"/>
      <c r="AZ25" s="87">
        <f>D25+H25+L25+P25+T25+X25+AB25+AF25+AJ25+AN25+AR25+AV25</f>
        <v>674.4</v>
      </c>
      <c r="BA25" s="85" t="s">
        <v>4</v>
      </c>
    </row>
    <row r="26" spans="1:53" ht="16" outlineLevel="1">
      <c r="A26" s="64" t="s">
        <v>23</v>
      </c>
      <c r="B26" s="77"/>
      <c r="C26" s="77"/>
      <c r="D26" s="77"/>
      <c r="E26" s="77" t="s">
        <v>4</v>
      </c>
      <c r="F26" s="77"/>
      <c r="G26" s="77"/>
      <c r="H26" s="77"/>
      <c r="I26" s="77" t="s">
        <v>4</v>
      </c>
      <c r="J26" s="77"/>
      <c r="K26" s="77"/>
      <c r="L26" s="77"/>
      <c r="M26" s="77" t="s">
        <v>4</v>
      </c>
      <c r="N26" s="77"/>
      <c r="O26" s="77"/>
      <c r="P26" s="77"/>
      <c r="Q26" s="77" t="s">
        <v>4</v>
      </c>
      <c r="R26" s="77"/>
      <c r="S26" s="77"/>
      <c r="T26" s="77"/>
      <c r="U26" s="77" t="s">
        <v>4</v>
      </c>
      <c r="V26" s="77"/>
      <c r="W26" s="77"/>
      <c r="X26" s="77"/>
      <c r="Y26" s="77" t="s">
        <v>4</v>
      </c>
      <c r="Z26" s="77"/>
      <c r="AA26" s="77"/>
      <c r="AB26" s="77"/>
      <c r="AC26" s="77" t="s">
        <v>4</v>
      </c>
      <c r="AD26" s="77"/>
      <c r="AE26" s="77"/>
      <c r="AF26" s="77"/>
      <c r="AG26" s="77" t="s">
        <v>4</v>
      </c>
      <c r="AH26" s="77"/>
      <c r="AI26" s="77"/>
      <c r="AJ26" s="77"/>
      <c r="AK26" s="77" t="s">
        <v>4</v>
      </c>
      <c r="AL26" s="77"/>
      <c r="AM26" s="77"/>
      <c r="AN26" s="77"/>
      <c r="AO26" s="77" t="s">
        <v>4</v>
      </c>
      <c r="AP26" s="77"/>
      <c r="AQ26" s="77"/>
      <c r="AR26" s="77"/>
      <c r="AS26" s="77" t="s">
        <v>4</v>
      </c>
      <c r="AT26" s="77"/>
      <c r="AU26" s="77"/>
      <c r="AV26" s="77"/>
      <c r="AW26" s="77" t="s">
        <v>4</v>
      </c>
      <c r="AX26" s="77"/>
      <c r="AY26" s="77"/>
      <c r="AZ26" s="77"/>
      <c r="BA26" s="77" t="s">
        <v>4</v>
      </c>
    </row>
    <row r="27" spans="1:53" ht="16" outlineLevel="2">
      <c r="A27" s="65" t="s">
        <v>24</v>
      </c>
      <c r="B27" s="78">
        <v>63.09</v>
      </c>
      <c r="C27" s="77"/>
      <c r="D27" s="78">
        <v>63.09</v>
      </c>
      <c r="E27" s="77" t="s">
        <v>4</v>
      </c>
      <c r="F27" s="77"/>
      <c r="G27" s="77"/>
      <c r="H27" s="77"/>
      <c r="I27" s="77" t="s">
        <v>4</v>
      </c>
      <c r="J27" s="77"/>
      <c r="K27" s="77"/>
      <c r="L27" s="77"/>
      <c r="M27" s="77" t="s">
        <v>4</v>
      </c>
      <c r="N27" s="77"/>
      <c r="O27" s="77"/>
      <c r="P27" s="77"/>
      <c r="Q27" s="77" t="s">
        <v>4</v>
      </c>
      <c r="R27" s="77"/>
      <c r="S27" s="77"/>
      <c r="T27" s="77"/>
      <c r="U27" s="77" t="s">
        <v>4</v>
      </c>
      <c r="V27" s="77"/>
      <c r="W27" s="77"/>
      <c r="X27" s="77"/>
      <c r="Y27" s="77" t="s">
        <v>4</v>
      </c>
      <c r="Z27" s="77"/>
      <c r="AA27" s="77"/>
      <c r="AB27" s="77"/>
      <c r="AC27" s="77" t="s">
        <v>4</v>
      </c>
      <c r="AD27" s="77"/>
      <c r="AE27" s="77"/>
      <c r="AF27" s="77"/>
      <c r="AG27" s="77" t="s">
        <v>4</v>
      </c>
      <c r="AH27" s="77"/>
      <c r="AI27" s="77"/>
      <c r="AJ27" s="77"/>
      <c r="AK27" s="77" t="s">
        <v>4</v>
      </c>
      <c r="AL27" s="77"/>
      <c r="AM27" s="77"/>
      <c r="AN27" s="77"/>
      <c r="AO27" s="77" t="s">
        <v>4</v>
      </c>
      <c r="AP27" s="77"/>
      <c r="AQ27" s="77"/>
      <c r="AR27" s="77"/>
      <c r="AS27" s="77" t="s">
        <v>4</v>
      </c>
      <c r="AT27" s="77"/>
      <c r="AU27" s="77"/>
      <c r="AV27" s="77"/>
      <c r="AW27" s="77" t="s">
        <v>4</v>
      </c>
      <c r="AX27" s="78">
        <f>B27+F27+J27+N27+R27+V27+Z27+AD27+AH27+AL27+AP27+AT27</f>
        <v>63.09</v>
      </c>
      <c r="AY27" s="77"/>
      <c r="AZ27" s="78">
        <f>D27+H27+L27+P27+T27+X27+AB27+AF27+AJ27+AN27+AR27+AV27</f>
        <v>63.09</v>
      </c>
      <c r="BA27" s="77" t="s">
        <v>4</v>
      </c>
    </row>
    <row r="28" spans="1:53" ht="16" outlineLevel="2">
      <c r="A28" s="65" t="s">
        <v>25</v>
      </c>
      <c r="B28" s="77"/>
      <c r="C28" s="78">
        <v>41.67</v>
      </c>
      <c r="D28" s="82">
        <v>-41.67</v>
      </c>
      <c r="E28" s="83">
        <v>0</v>
      </c>
      <c r="F28" s="77"/>
      <c r="G28" s="78">
        <v>41.67</v>
      </c>
      <c r="H28" s="82">
        <v>-41.67</v>
      </c>
      <c r="I28" s="83">
        <v>0</v>
      </c>
      <c r="J28" s="77"/>
      <c r="K28" s="78">
        <v>41.67</v>
      </c>
      <c r="L28" s="82">
        <v>-41.67</v>
      </c>
      <c r="M28" s="83">
        <v>0</v>
      </c>
      <c r="N28" s="77"/>
      <c r="O28" s="78">
        <v>41.67</v>
      </c>
      <c r="P28" s="82">
        <v>-41.67</v>
      </c>
      <c r="Q28" s="83">
        <v>0</v>
      </c>
      <c r="R28" s="77"/>
      <c r="S28" s="78">
        <v>41.67</v>
      </c>
      <c r="T28" s="82">
        <v>-41.67</v>
      </c>
      <c r="U28" s="83">
        <v>0</v>
      </c>
      <c r="V28" s="77"/>
      <c r="W28" s="78">
        <v>41.67</v>
      </c>
      <c r="X28" s="82">
        <v>-41.67</v>
      </c>
      <c r="Y28" s="83">
        <v>0</v>
      </c>
      <c r="Z28" s="77"/>
      <c r="AA28" s="78">
        <v>41.67</v>
      </c>
      <c r="AB28" s="82">
        <v>-41.67</v>
      </c>
      <c r="AC28" s="83">
        <v>0</v>
      </c>
      <c r="AD28" s="77"/>
      <c r="AE28" s="78">
        <v>41.67</v>
      </c>
      <c r="AF28" s="82">
        <v>-41.67</v>
      </c>
      <c r="AG28" s="83">
        <v>0</v>
      </c>
      <c r="AH28" s="77"/>
      <c r="AI28" s="78">
        <v>41.67</v>
      </c>
      <c r="AJ28" s="82">
        <v>-41.67</v>
      </c>
      <c r="AK28" s="83">
        <v>0</v>
      </c>
      <c r="AL28" s="77"/>
      <c r="AM28" s="78">
        <v>41.67</v>
      </c>
      <c r="AN28" s="82">
        <v>-41.67</v>
      </c>
      <c r="AO28" s="83">
        <v>0</v>
      </c>
      <c r="AP28" s="77"/>
      <c r="AQ28" s="78">
        <v>41.67</v>
      </c>
      <c r="AR28" s="82">
        <v>-41.67</v>
      </c>
      <c r="AS28" s="83">
        <v>0</v>
      </c>
      <c r="AT28" s="77"/>
      <c r="AU28" s="78">
        <v>41.63</v>
      </c>
      <c r="AV28" s="82">
        <v>-41.63</v>
      </c>
      <c r="AW28" s="83">
        <v>0</v>
      </c>
      <c r="AX28" s="77"/>
      <c r="AY28" s="78">
        <f>C28+G28+K28+O28+S28+W28+AA28+AE28+AI28+AM28+AQ28+AU28</f>
        <v>500.0000000000001</v>
      </c>
      <c r="AZ28" s="82">
        <f>D28+H28+L28+P28+T28+X28+AB28+AF28+AJ28+AN28+AR28+AV28</f>
        <v>-500.0000000000001</v>
      </c>
      <c r="BA28" s="89">
        <f>IFERROR(E28+I28+M28+Q28+U28+Y28+AC28+AG28+AK28+AO28+AS28+AW28,"")</f>
        <v>0.0</v>
      </c>
    </row>
    <row r="29" spans="1:53" ht="16" outlineLevel="2">
      <c r="A29" s="65" t="s">
        <v>26</v>
      </c>
      <c r="B29" s="77"/>
      <c r="C29" s="78">
        <v>175.0</v>
      </c>
      <c r="D29" s="82">
        <v>-175.0</v>
      </c>
      <c r="E29" s="83">
        <v>0</v>
      </c>
      <c r="F29" s="77"/>
      <c r="G29" s="78">
        <v>175.0</v>
      </c>
      <c r="H29" s="82">
        <v>-175.0</v>
      </c>
      <c r="I29" s="83">
        <v>0</v>
      </c>
      <c r="J29" s="77"/>
      <c r="K29" s="78">
        <v>175.0</v>
      </c>
      <c r="L29" s="82">
        <v>-175.0</v>
      </c>
      <c r="M29" s="83">
        <v>0</v>
      </c>
      <c r="N29" s="77"/>
      <c r="O29" s="78">
        <v>175.0</v>
      </c>
      <c r="P29" s="82">
        <v>-175.0</v>
      </c>
      <c r="Q29" s="83">
        <v>0</v>
      </c>
      <c r="R29" s="77"/>
      <c r="S29" s="78">
        <v>175.0</v>
      </c>
      <c r="T29" s="82">
        <v>-175.0</v>
      </c>
      <c r="U29" s="83">
        <v>0</v>
      </c>
      <c r="V29" s="77"/>
      <c r="W29" s="78">
        <v>175.0</v>
      </c>
      <c r="X29" s="82">
        <v>-175.0</v>
      </c>
      <c r="Y29" s="83">
        <v>0</v>
      </c>
      <c r="Z29" s="77"/>
      <c r="AA29" s="78">
        <v>175.0</v>
      </c>
      <c r="AB29" s="82">
        <v>-175.0</v>
      </c>
      <c r="AC29" s="83">
        <v>0</v>
      </c>
      <c r="AD29" s="77"/>
      <c r="AE29" s="78">
        <v>175.0</v>
      </c>
      <c r="AF29" s="82">
        <v>-175.0</v>
      </c>
      <c r="AG29" s="83">
        <v>0</v>
      </c>
      <c r="AH29" s="77"/>
      <c r="AI29" s="78">
        <v>175.0</v>
      </c>
      <c r="AJ29" s="82">
        <v>-175.0</v>
      </c>
      <c r="AK29" s="83">
        <v>0</v>
      </c>
      <c r="AL29" s="77"/>
      <c r="AM29" s="78">
        <v>175.0</v>
      </c>
      <c r="AN29" s="82">
        <v>-175.0</v>
      </c>
      <c r="AO29" s="83">
        <v>0</v>
      </c>
      <c r="AP29" s="77"/>
      <c r="AQ29" s="78">
        <v>175.0</v>
      </c>
      <c r="AR29" s="82">
        <v>-175.0</v>
      </c>
      <c r="AS29" s="83">
        <v>0</v>
      </c>
      <c r="AT29" s="77"/>
      <c r="AU29" s="78">
        <v>175.0</v>
      </c>
      <c r="AV29" s="82">
        <v>-175.0</v>
      </c>
      <c r="AW29" s="83">
        <v>0</v>
      </c>
      <c r="AX29" s="77"/>
      <c r="AY29" s="78">
        <f>C29+G29+K29+O29+S29+W29+AA29+AE29+AI29+AM29+AQ29+AU29</f>
        <v>2100.0</v>
      </c>
      <c r="AZ29" s="82">
        <f>D29+H29+L29+P29+T29+X29+AB29+AF29+AJ29+AN29+AR29+AV29</f>
        <v>-2100.0</v>
      </c>
      <c r="BA29" s="89">
        <f>IFERROR(E29+I29+M29+Q29+U29+Y29+AC29+AG29+AK29+AO29+AS29+AW29,"")</f>
        <v>0.0</v>
      </c>
    </row>
    <row r="30" spans="1:53" ht="16" outlineLevel="1">
      <c r="A30" s="66" t="s">
        <v>27</v>
      </c>
      <c r="B30" s="79">
        <f>B26+B27+B28+B29</f>
        <v>63.09</v>
      </c>
      <c r="C30" s="79">
        <f>C26+C27+C28+C29</f>
        <v>216.67000000000002</v>
      </c>
      <c r="D30" s="80">
        <f>D26+D27+D28+D29</f>
        <v>-153.57999999999998</v>
      </c>
      <c r="E30" s="84">
        <v>0.2912</v>
      </c>
      <c r="F30" s="79"/>
      <c r="G30" s="79">
        <f>G26+G27+G28+G29</f>
        <v>216.67000000000002</v>
      </c>
      <c r="H30" s="80">
        <f>H26+H27+H28+H29</f>
        <v>-216.67000000000002</v>
      </c>
      <c r="I30" s="84">
        <v>0</v>
      </c>
      <c r="J30" s="79"/>
      <c r="K30" s="79">
        <f>K26+K27+K28+K29</f>
        <v>216.67000000000002</v>
      </c>
      <c r="L30" s="80">
        <f>L26+L27+L28+L29</f>
        <v>-216.67000000000002</v>
      </c>
      <c r="M30" s="84">
        <v>0</v>
      </c>
      <c r="N30" s="79"/>
      <c r="O30" s="79">
        <f>O26+O27+O28+O29</f>
        <v>216.67000000000002</v>
      </c>
      <c r="P30" s="80">
        <f>P26+P27+P28+P29</f>
        <v>-216.67000000000002</v>
      </c>
      <c r="Q30" s="84">
        <v>0</v>
      </c>
      <c r="R30" s="79"/>
      <c r="S30" s="79">
        <f>S26+S27+S28+S29</f>
        <v>216.67000000000002</v>
      </c>
      <c r="T30" s="80">
        <f>T26+T27+T28+T29</f>
        <v>-216.67000000000002</v>
      </c>
      <c r="U30" s="84">
        <v>0</v>
      </c>
      <c r="V30" s="79"/>
      <c r="W30" s="79">
        <f>W26+W27+W28+W29</f>
        <v>216.67000000000002</v>
      </c>
      <c r="X30" s="80">
        <f>X26+X27+X28+X29</f>
        <v>-216.67000000000002</v>
      </c>
      <c r="Y30" s="84">
        <v>0</v>
      </c>
      <c r="Z30" s="79"/>
      <c r="AA30" s="79">
        <f>AA26+AA27+AA28+AA29</f>
        <v>216.67000000000002</v>
      </c>
      <c r="AB30" s="80">
        <f>AB26+AB27+AB28+AB29</f>
        <v>-216.67000000000002</v>
      </c>
      <c r="AC30" s="84">
        <v>0</v>
      </c>
      <c r="AD30" s="79"/>
      <c r="AE30" s="79">
        <f>AE26+AE27+AE28+AE29</f>
        <v>216.67000000000002</v>
      </c>
      <c r="AF30" s="80">
        <f>AF26+AF27+AF28+AF29</f>
        <v>-216.67000000000002</v>
      </c>
      <c r="AG30" s="84">
        <v>0</v>
      </c>
      <c r="AH30" s="79"/>
      <c r="AI30" s="79">
        <f>AI26+AI27+AI28+AI29</f>
        <v>216.67000000000002</v>
      </c>
      <c r="AJ30" s="80">
        <f>AJ26+AJ27+AJ28+AJ29</f>
        <v>-216.67000000000002</v>
      </c>
      <c r="AK30" s="84">
        <v>0</v>
      </c>
      <c r="AL30" s="79"/>
      <c r="AM30" s="79">
        <f>AM26+AM27+AM28+AM29</f>
        <v>216.67000000000002</v>
      </c>
      <c r="AN30" s="80">
        <f>AN26+AN27+AN28+AN29</f>
        <v>-216.67000000000002</v>
      </c>
      <c r="AO30" s="84">
        <v>0</v>
      </c>
      <c r="AP30" s="79"/>
      <c r="AQ30" s="79">
        <f>AQ26+AQ27+AQ28+AQ29</f>
        <v>216.67000000000002</v>
      </c>
      <c r="AR30" s="80">
        <f>AR26+AR27+AR28+AR29</f>
        <v>-216.67000000000002</v>
      </c>
      <c r="AS30" s="84">
        <v>0</v>
      </c>
      <c r="AT30" s="79"/>
      <c r="AU30" s="79">
        <f>AU26+AU27+AU28+AU29</f>
        <v>216.63</v>
      </c>
      <c r="AV30" s="80">
        <f>AV26+AV27+AV28+AV29</f>
        <v>-216.63</v>
      </c>
      <c r="AW30" s="84">
        <v>0</v>
      </c>
      <c r="AX30" s="87">
        <f>B30+F30+J30+N30+R30+V30+Z30+AD30+AH30+AL30+AP30+AT30</f>
        <v>63.09</v>
      </c>
      <c r="AY30" s="87">
        <f>C30+G30+K30+O30+S30+W30+AA30+AE30+AI30+AM30+AQ30+AU30</f>
        <v>2600.0000000000005</v>
      </c>
      <c r="AZ30" s="88">
        <f>D30+H30+L30+P30+T30+X30+AB30+AF30+AJ30+AN30+AR30+AV30</f>
        <v>-2536.9100000000008</v>
      </c>
      <c r="BA30" s="84">
        <v>0.024300000000000002</v>
      </c>
    </row>
    <row r="31" spans="1:53" ht="16" outlineLevel="1">
      <c r="A31" s="64" t="s">
        <v>28</v>
      </c>
      <c r="B31" s="78">
        <v>777.0</v>
      </c>
      <c r="C31" s="78">
        <v>1058.33</v>
      </c>
      <c r="D31" s="82">
        <v>-281.3299999999999</v>
      </c>
      <c r="E31" s="83">
        <v>0.7342</v>
      </c>
      <c r="F31" s="78">
        <v>777.0</v>
      </c>
      <c r="G31" s="78">
        <v>1058.33</v>
      </c>
      <c r="H31" s="82">
        <v>-281.3299999999999</v>
      </c>
      <c r="I31" s="83">
        <v>0.7342</v>
      </c>
      <c r="J31" s="77"/>
      <c r="K31" s="78">
        <v>1058.33</v>
      </c>
      <c r="L31" s="82">
        <v>-1058.33</v>
      </c>
      <c r="M31" s="83">
        <v>0</v>
      </c>
      <c r="N31" s="77"/>
      <c r="O31" s="78">
        <v>1058.33</v>
      </c>
      <c r="P31" s="82">
        <v>-1058.33</v>
      </c>
      <c r="Q31" s="83">
        <v>0</v>
      </c>
      <c r="R31" s="77"/>
      <c r="S31" s="78">
        <v>1058.33</v>
      </c>
      <c r="T31" s="82">
        <v>-1058.33</v>
      </c>
      <c r="U31" s="83">
        <v>0</v>
      </c>
      <c r="V31" s="77"/>
      <c r="W31" s="78">
        <v>1058.33</v>
      </c>
      <c r="X31" s="82">
        <v>-1058.33</v>
      </c>
      <c r="Y31" s="83">
        <v>0</v>
      </c>
      <c r="Z31" s="77"/>
      <c r="AA31" s="78">
        <v>1058.33</v>
      </c>
      <c r="AB31" s="82">
        <v>-1058.33</v>
      </c>
      <c r="AC31" s="83">
        <v>0</v>
      </c>
      <c r="AD31" s="77"/>
      <c r="AE31" s="78">
        <v>1058.33</v>
      </c>
      <c r="AF31" s="82">
        <v>-1058.33</v>
      </c>
      <c r="AG31" s="83">
        <v>0</v>
      </c>
      <c r="AH31" s="77"/>
      <c r="AI31" s="78">
        <v>1058.33</v>
      </c>
      <c r="AJ31" s="82">
        <v>-1058.33</v>
      </c>
      <c r="AK31" s="83">
        <v>0</v>
      </c>
      <c r="AL31" s="77"/>
      <c r="AM31" s="78">
        <v>1058.33</v>
      </c>
      <c r="AN31" s="82">
        <v>-1058.33</v>
      </c>
      <c r="AO31" s="83">
        <v>0</v>
      </c>
      <c r="AP31" s="77"/>
      <c r="AQ31" s="78">
        <v>1058.33</v>
      </c>
      <c r="AR31" s="82">
        <v>-1058.33</v>
      </c>
      <c r="AS31" s="83">
        <v>0</v>
      </c>
      <c r="AT31" s="77"/>
      <c r="AU31" s="78">
        <v>1058.37</v>
      </c>
      <c r="AV31" s="82">
        <v>-1058.37</v>
      </c>
      <c r="AW31" s="83">
        <v>0</v>
      </c>
      <c r="AX31" s="78">
        <f>B31+F31+J31+N31+R31+V31+Z31+AD31+AH31+AL31+AP31+AT31</f>
        <v>1554.0</v>
      </c>
      <c r="AY31" s="78">
        <f>C31+G31+K31+O31+S31+W31+AA31+AE31+AI31+AM31+AQ31+AU31</f>
        <v>12700.0</v>
      </c>
      <c r="AZ31" s="82">
        <f>D31+H31+L31+P31+T31+X31+AB31+AF31+AJ31+AN31+AR31+AV31</f>
        <v>-11146.0</v>
      </c>
      <c r="BA31" s="83">
        <v>0.12240000000000001</v>
      </c>
    </row>
    <row r="32" spans="1:53" ht="16" outlineLevel="2">
      <c r="A32" s="65" t="s">
        <v>29</v>
      </c>
      <c r="B32" s="78">
        <v>385.67</v>
      </c>
      <c r="C32" s="77"/>
      <c r="D32" s="78">
        <v>385.67</v>
      </c>
      <c r="E32" s="77" t="s">
        <v>4</v>
      </c>
      <c r="F32" s="77"/>
      <c r="G32" s="77"/>
      <c r="H32" s="77"/>
      <c r="I32" s="77" t="s">
        <v>4</v>
      </c>
      <c r="J32" s="77"/>
      <c r="K32" s="77"/>
      <c r="L32" s="77"/>
      <c r="M32" s="77" t="s">
        <v>4</v>
      </c>
      <c r="N32" s="77"/>
      <c r="O32" s="77"/>
      <c r="P32" s="77"/>
      <c r="Q32" s="77" t="s">
        <v>4</v>
      </c>
      <c r="R32" s="77"/>
      <c r="S32" s="77"/>
      <c r="T32" s="77"/>
      <c r="U32" s="77" t="s">
        <v>4</v>
      </c>
      <c r="V32" s="77"/>
      <c r="W32" s="77"/>
      <c r="X32" s="77"/>
      <c r="Y32" s="77" t="s">
        <v>4</v>
      </c>
      <c r="Z32" s="77"/>
      <c r="AA32" s="77"/>
      <c r="AB32" s="77"/>
      <c r="AC32" s="77" t="s">
        <v>4</v>
      </c>
      <c r="AD32" s="77"/>
      <c r="AE32" s="77"/>
      <c r="AF32" s="77"/>
      <c r="AG32" s="77" t="s">
        <v>4</v>
      </c>
      <c r="AH32" s="77"/>
      <c r="AI32" s="77"/>
      <c r="AJ32" s="77"/>
      <c r="AK32" s="77" t="s">
        <v>4</v>
      </c>
      <c r="AL32" s="77"/>
      <c r="AM32" s="77"/>
      <c r="AN32" s="77"/>
      <c r="AO32" s="77" t="s">
        <v>4</v>
      </c>
      <c r="AP32" s="77"/>
      <c r="AQ32" s="77"/>
      <c r="AR32" s="77"/>
      <c r="AS32" s="77" t="s">
        <v>4</v>
      </c>
      <c r="AT32" s="77"/>
      <c r="AU32" s="77"/>
      <c r="AV32" s="77"/>
      <c r="AW32" s="77" t="s">
        <v>4</v>
      </c>
      <c r="AX32" s="78">
        <f>B32+F32+J32+N32+R32+V32+Z32+AD32+AH32+AL32+AP32+AT32</f>
        <v>385.67</v>
      </c>
      <c r="AY32" s="77"/>
      <c r="AZ32" s="78">
        <f>D32+H32+L32+P32+T32+X32+AB32+AF32+AJ32+AN32+AR32+AV32</f>
        <v>385.67</v>
      </c>
      <c r="BA32" s="77" t="s">
        <v>4</v>
      </c>
    </row>
    <row r="33" spans="1:53" ht="16" outlineLevel="1">
      <c r="A33" s="66" t="s">
        <v>30</v>
      </c>
      <c r="B33" s="79">
        <f>B31+B32</f>
        <v>1162.67</v>
      </c>
      <c r="C33" s="79">
        <f>C31+C32</f>
        <v>1058.33</v>
      </c>
      <c r="D33" s="79">
        <f>D31+D32</f>
        <v>104.34000000000009</v>
      </c>
      <c r="E33" s="84">
        <v>1.0986</v>
      </c>
      <c r="F33" s="79">
        <f>F31+F32</f>
        <v>777.0</v>
      </c>
      <c r="G33" s="79">
        <f>G31+G32</f>
        <v>1058.33</v>
      </c>
      <c r="H33" s="80">
        <f>H31+H32</f>
        <v>-281.3299999999999</v>
      </c>
      <c r="I33" s="84">
        <v>0.7342</v>
      </c>
      <c r="J33" s="79"/>
      <c r="K33" s="79">
        <f>K31+K32</f>
        <v>1058.33</v>
      </c>
      <c r="L33" s="80">
        <f>L31+L32</f>
        <v>-1058.33</v>
      </c>
      <c r="M33" s="84">
        <v>0</v>
      </c>
      <c r="N33" s="79"/>
      <c r="O33" s="79">
        <f>O31+O32</f>
        <v>1058.33</v>
      </c>
      <c r="P33" s="80">
        <f>P31+P32</f>
        <v>-1058.33</v>
      </c>
      <c r="Q33" s="84">
        <v>0</v>
      </c>
      <c r="R33" s="79"/>
      <c r="S33" s="79">
        <f>S31+S32</f>
        <v>1058.33</v>
      </c>
      <c r="T33" s="80">
        <f>T31+T32</f>
        <v>-1058.33</v>
      </c>
      <c r="U33" s="84">
        <v>0</v>
      </c>
      <c r="V33" s="79"/>
      <c r="W33" s="79">
        <f>W31+W32</f>
        <v>1058.33</v>
      </c>
      <c r="X33" s="80">
        <f>X31+X32</f>
        <v>-1058.33</v>
      </c>
      <c r="Y33" s="84">
        <v>0</v>
      </c>
      <c r="Z33" s="79"/>
      <c r="AA33" s="79">
        <f>AA31+AA32</f>
        <v>1058.33</v>
      </c>
      <c r="AB33" s="80">
        <f>AB31+AB32</f>
        <v>-1058.33</v>
      </c>
      <c r="AC33" s="84">
        <v>0</v>
      </c>
      <c r="AD33" s="79"/>
      <c r="AE33" s="79">
        <f>AE31+AE32</f>
        <v>1058.33</v>
      </c>
      <c r="AF33" s="80">
        <f>AF31+AF32</f>
        <v>-1058.33</v>
      </c>
      <c r="AG33" s="84">
        <v>0</v>
      </c>
      <c r="AH33" s="79"/>
      <c r="AI33" s="79">
        <f>AI31+AI32</f>
        <v>1058.33</v>
      </c>
      <c r="AJ33" s="80">
        <f>AJ31+AJ32</f>
        <v>-1058.33</v>
      </c>
      <c r="AK33" s="84">
        <v>0</v>
      </c>
      <c r="AL33" s="79"/>
      <c r="AM33" s="79">
        <f>AM31+AM32</f>
        <v>1058.33</v>
      </c>
      <c r="AN33" s="80">
        <f>AN31+AN32</f>
        <v>-1058.33</v>
      </c>
      <c r="AO33" s="84">
        <v>0</v>
      </c>
      <c r="AP33" s="79"/>
      <c r="AQ33" s="79">
        <f>AQ31+AQ32</f>
        <v>1058.33</v>
      </c>
      <c r="AR33" s="80">
        <f>AR31+AR32</f>
        <v>-1058.33</v>
      </c>
      <c r="AS33" s="84">
        <v>0</v>
      </c>
      <c r="AT33" s="79"/>
      <c r="AU33" s="79">
        <f>AU31+AU32</f>
        <v>1058.37</v>
      </c>
      <c r="AV33" s="80">
        <f>AV31+AV32</f>
        <v>-1058.37</v>
      </c>
      <c r="AW33" s="84">
        <v>0</v>
      </c>
      <c r="AX33" s="87">
        <f>B33+F33+J33+N33+R33+V33+Z33+AD33+AH33+AL33+AP33+AT33</f>
        <v>1939.67</v>
      </c>
      <c r="AY33" s="87">
        <f>C33+G33+K33+O33+S33+W33+AA33+AE33+AI33+AM33+AQ33+AU33</f>
        <v>12700.0</v>
      </c>
      <c r="AZ33" s="88">
        <f>D33+H33+L33+P33+T33+X33+AB33+AF33+AJ33+AN33+AR33+AV33</f>
        <v>-10760.329999999998</v>
      </c>
      <c r="BA33" s="84">
        <v>0.1527</v>
      </c>
    </row>
    <row r="34" spans="1:53" ht="16" outlineLevel="1">
      <c r="A34" s="64" t="s">
        <v>31</v>
      </c>
      <c r="B34" s="77"/>
      <c r="C34" s="77"/>
      <c r="D34" s="77"/>
      <c r="E34" s="77" t="s">
        <v>4</v>
      </c>
      <c r="F34" s="77"/>
      <c r="G34" s="77"/>
      <c r="H34" s="77"/>
      <c r="I34" s="77" t="s">
        <v>4</v>
      </c>
      <c r="J34" s="77"/>
      <c r="K34" s="77"/>
      <c r="L34" s="77"/>
      <c r="M34" s="77" t="s">
        <v>4</v>
      </c>
      <c r="N34" s="77"/>
      <c r="O34" s="77"/>
      <c r="P34" s="77"/>
      <c r="Q34" s="77" t="s">
        <v>4</v>
      </c>
      <c r="R34" s="77"/>
      <c r="S34" s="77"/>
      <c r="T34" s="77"/>
      <c r="U34" s="77" t="s">
        <v>4</v>
      </c>
      <c r="V34" s="77"/>
      <c r="W34" s="77"/>
      <c r="X34" s="77"/>
      <c r="Y34" s="77" t="s">
        <v>4</v>
      </c>
      <c r="Z34" s="77"/>
      <c r="AA34" s="77"/>
      <c r="AB34" s="77"/>
      <c r="AC34" s="77" t="s">
        <v>4</v>
      </c>
      <c r="AD34" s="77"/>
      <c r="AE34" s="77"/>
      <c r="AF34" s="77"/>
      <c r="AG34" s="77" t="s">
        <v>4</v>
      </c>
      <c r="AH34" s="77"/>
      <c r="AI34" s="77"/>
      <c r="AJ34" s="77"/>
      <c r="AK34" s="77" t="s">
        <v>4</v>
      </c>
      <c r="AL34" s="77"/>
      <c r="AM34" s="77"/>
      <c r="AN34" s="77"/>
      <c r="AO34" s="77" t="s">
        <v>4</v>
      </c>
      <c r="AP34" s="77"/>
      <c r="AQ34" s="77"/>
      <c r="AR34" s="77"/>
      <c r="AS34" s="77" t="s">
        <v>4</v>
      </c>
      <c r="AT34" s="77"/>
      <c r="AU34" s="77"/>
      <c r="AV34" s="77"/>
      <c r="AW34" s="77" t="s">
        <v>4</v>
      </c>
      <c r="AX34" s="77"/>
      <c r="AY34" s="77"/>
      <c r="AZ34" s="77"/>
      <c r="BA34" s="77" t="s">
        <v>4</v>
      </c>
    </row>
    <row r="35" spans="1:53" ht="16" outlineLevel="2">
      <c r="A35" s="65" t="s">
        <v>32</v>
      </c>
      <c r="B35" s="78">
        <v>4608.52</v>
      </c>
      <c r="C35" s="77"/>
      <c r="D35" s="78">
        <v>4608.52</v>
      </c>
      <c r="E35" s="77" t="s">
        <v>4</v>
      </c>
      <c r="F35" s="77"/>
      <c r="G35" s="77"/>
      <c r="H35" s="77"/>
      <c r="I35" s="77" t="s">
        <v>4</v>
      </c>
      <c r="J35" s="77"/>
      <c r="K35" s="77"/>
      <c r="L35" s="77"/>
      <c r="M35" s="77" t="s">
        <v>4</v>
      </c>
      <c r="N35" s="77"/>
      <c r="O35" s="77"/>
      <c r="P35" s="77"/>
      <c r="Q35" s="77" t="s">
        <v>4</v>
      </c>
      <c r="R35" s="77"/>
      <c r="S35" s="77"/>
      <c r="T35" s="77"/>
      <c r="U35" s="77" t="s">
        <v>4</v>
      </c>
      <c r="V35" s="77"/>
      <c r="W35" s="77"/>
      <c r="X35" s="77"/>
      <c r="Y35" s="77" t="s">
        <v>4</v>
      </c>
      <c r="Z35" s="77"/>
      <c r="AA35" s="77"/>
      <c r="AB35" s="77"/>
      <c r="AC35" s="77" t="s">
        <v>4</v>
      </c>
      <c r="AD35" s="77"/>
      <c r="AE35" s="77"/>
      <c r="AF35" s="77"/>
      <c r="AG35" s="77" t="s">
        <v>4</v>
      </c>
      <c r="AH35" s="77"/>
      <c r="AI35" s="77"/>
      <c r="AJ35" s="77"/>
      <c r="AK35" s="77" t="s">
        <v>4</v>
      </c>
      <c r="AL35" s="77"/>
      <c r="AM35" s="77"/>
      <c r="AN35" s="77"/>
      <c r="AO35" s="77" t="s">
        <v>4</v>
      </c>
      <c r="AP35" s="77"/>
      <c r="AQ35" s="77"/>
      <c r="AR35" s="77"/>
      <c r="AS35" s="77" t="s">
        <v>4</v>
      </c>
      <c r="AT35" s="77"/>
      <c r="AU35" s="77"/>
      <c r="AV35" s="77"/>
      <c r="AW35" s="77" t="s">
        <v>4</v>
      </c>
      <c r="AX35" s="78">
        <f>B35+F35+J35+N35+R35+V35+Z35+AD35+AH35+AL35+AP35+AT35</f>
        <v>4608.52</v>
      </c>
      <c r="AY35" s="77"/>
      <c r="AZ35" s="78">
        <f>D35+H35+L35+P35+T35+X35+AB35+AF35+AJ35+AN35+AR35+AV35</f>
        <v>4608.52</v>
      </c>
      <c r="BA35" s="77" t="s">
        <v>4</v>
      </c>
    </row>
    <row r="36" spans="1:53" ht="16" outlineLevel="2">
      <c r="A36" s="65" t="s">
        <v>33</v>
      </c>
      <c r="B36" s="77"/>
      <c r="C36" s="78">
        <v>166.67</v>
      </c>
      <c r="D36" s="82">
        <v>-166.67</v>
      </c>
      <c r="E36" s="83">
        <v>0</v>
      </c>
      <c r="F36" s="77"/>
      <c r="G36" s="78">
        <v>166.67</v>
      </c>
      <c r="H36" s="82">
        <v>-166.67</v>
      </c>
      <c r="I36" s="83">
        <v>0</v>
      </c>
      <c r="J36" s="77"/>
      <c r="K36" s="78">
        <v>166.67</v>
      </c>
      <c r="L36" s="82">
        <v>-166.67</v>
      </c>
      <c r="M36" s="83">
        <v>0</v>
      </c>
      <c r="N36" s="77"/>
      <c r="O36" s="78">
        <v>166.67</v>
      </c>
      <c r="P36" s="82">
        <v>-166.67</v>
      </c>
      <c r="Q36" s="83">
        <v>0</v>
      </c>
      <c r="R36" s="77"/>
      <c r="S36" s="78">
        <v>166.67</v>
      </c>
      <c r="T36" s="82">
        <v>-166.67</v>
      </c>
      <c r="U36" s="83">
        <v>0</v>
      </c>
      <c r="V36" s="77"/>
      <c r="W36" s="78">
        <v>166.67</v>
      </c>
      <c r="X36" s="82">
        <v>-166.67</v>
      </c>
      <c r="Y36" s="83">
        <v>0</v>
      </c>
      <c r="Z36" s="77"/>
      <c r="AA36" s="78">
        <v>166.67</v>
      </c>
      <c r="AB36" s="82">
        <v>-166.67</v>
      </c>
      <c r="AC36" s="83">
        <v>0</v>
      </c>
      <c r="AD36" s="77"/>
      <c r="AE36" s="78">
        <v>166.67</v>
      </c>
      <c r="AF36" s="82">
        <v>-166.67</v>
      </c>
      <c r="AG36" s="83">
        <v>0</v>
      </c>
      <c r="AH36" s="77"/>
      <c r="AI36" s="78">
        <v>166.67</v>
      </c>
      <c r="AJ36" s="82">
        <v>-166.67</v>
      </c>
      <c r="AK36" s="83">
        <v>0</v>
      </c>
      <c r="AL36" s="77"/>
      <c r="AM36" s="78">
        <v>166.67</v>
      </c>
      <c r="AN36" s="82">
        <v>-166.67</v>
      </c>
      <c r="AO36" s="83">
        <v>0</v>
      </c>
      <c r="AP36" s="77"/>
      <c r="AQ36" s="78">
        <v>166.67</v>
      </c>
      <c r="AR36" s="82">
        <v>-166.67</v>
      </c>
      <c r="AS36" s="83">
        <v>0</v>
      </c>
      <c r="AT36" s="77"/>
      <c r="AU36" s="78">
        <v>166.63</v>
      </c>
      <c r="AV36" s="82">
        <v>-166.63</v>
      </c>
      <c r="AW36" s="83">
        <v>0</v>
      </c>
      <c r="AX36" s="77"/>
      <c r="AY36" s="78">
        <f>C36+G36+K36+O36+S36+W36+AA36+AE36+AI36+AM36+AQ36+AU36</f>
        <v>2000.0</v>
      </c>
      <c r="AZ36" s="82">
        <f>D36+H36+L36+P36+T36+X36+AB36+AF36+AJ36+AN36+AR36+AV36</f>
        <v>-2000.0</v>
      </c>
      <c r="BA36" s="89">
        <f>IFERROR(E36+I36+M36+Q36+U36+Y36+AC36+AG36+AK36+AO36+AS36+AW36,"")</f>
        <v>0.0</v>
      </c>
    </row>
    <row r="37" spans="1:53" ht="16" outlineLevel="1">
      <c r="A37" s="66" t="s">
        <v>34</v>
      </c>
      <c r="B37" s="79">
        <f>B34+B35+B36</f>
        <v>4608.52</v>
      </c>
      <c r="C37" s="79">
        <f>C34+C35+C36</f>
        <v>166.67</v>
      </c>
      <c r="D37" s="79">
        <f>D34+D35+D36</f>
        <v>4441.85</v>
      </c>
      <c r="E37" s="84">
        <v>27.6506</v>
      </c>
      <c r="F37" s="79"/>
      <c r="G37" s="79">
        <f>G34+G35+G36</f>
        <v>166.67</v>
      </c>
      <c r="H37" s="80">
        <f>H34+H35+H36</f>
        <v>-166.67</v>
      </c>
      <c r="I37" s="84">
        <v>0</v>
      </c>
      <c r="J37" s="79"/>
      <c r="K37" s="79">
        <f>K34+K35+K36</f>
        <v>166.67</v>
      </c>
      <c r="L37" s="80">
        <f>L34+L35+L36</f>
        <v>-166.67</v>
      </c>
      <c r="M37" s="84">
        <v>0</v>
      </c>
      <c r="N37" s="79"/>
      <c r="O37" s="79">
        <f>O34+O35+O36</f>
        <v>166.67</v>
      </c>
      <c r="P37" s="80">
        <f>P34+P35+P36</f>
        <v>-166.67</v>
      </c>
      <c r="Q37" s="84">
        <v>0</v>
      </c>
      <c r="R37" s="79"/>
      <c r="S37" s="79">
        <f>S34+S35+S36</f>
        <v>166.67</v>
      </c>
      <c r="T37" s="80">
        <f>T34+T35+T36</f>
        <v>-166.67</v>
      </c>
      <c r="U37" s="84">
        <v>0</v>
      </c>
      <c r="V37" s="79"/>
      <c r="W37" s="79">
        <f>W34+W35+W36</f>
        <v>166.67</v>
      </c>
      <c r="X37" s="80">
        <f>X34+X35+X36</f>
        <v>-166.67</v>
      </c>
      <c r="Y37" s="84">
        <v>0</v>
      </c>
      <c r="Z37" s="79"/>
      <c r="AA37" s="79">
        <f>AA34+AA35+AA36</f>
        <v>166.67</v>
      </c>
      <c r="AB37" s="80">
        <f>AB34+AB35+AB36</f>
        <v>-166.67</v>
      </c>
      <c r="AC37" s="84">
        <v>0</v>
      </c>
      <c r="AD37" s="79"/>
      <c r="AE37" s="79">
        <f>AE34+AE35+AE36</f>
        <v>166.67</v>
      </c>
      <c r="AF37" s="80">
        <f>AF34+AF35+AF36</f>
        <v>-166.67</v>
      </c>
      <c r="AG37" s="84">
        <v>0</v>
      </c>
      <c r="AH37" s="79"/>
      <c r="AI37" s="79">
        <f>AI34+AI35+AI36</f>
        <v>166.67</v>
      </c>
      <c r="AJ37" s="80">
        <f>AJ34+AJ35+AJ36</f>
        <v>-166.67</v>
      </c>
      <c r="AK37" s="84">
        <v>0</v>
      </c>
      <c r="AL37" s="79"/>
      <c r="AM37" s="79">
        <f>AM34+AM35+AM36</f>
        <v>166.67</v>
      </c>
      <c r="AN37" s="80">
        <f>AN34+AN35+AN36</f>
        <v>-166.67</v>
      </c>
      <c r="AO37" s="84">
        <v>0</v>
      </c>
      <c r="AP37" s="79"/>
      <c r="AQ37" s="79">
        <f>AQ34+AQ35+AQ36</f>
        <v>166.67</v>
      </c>
      <c r="AR37" s="80">
        <f>AR34+AR35+AR36</f>
        <v>-166.67</v>
      </c>
      <c r="AS37" s="84">
        <v>0</v>
      </c>
      <c r="AT37" s="79"/>
      <c r="AU37" s="79">
        <f>AU34+AU35+AU36</f>
        <v>166.63</v>
      </c>
      <c r="AV37" s="80">
        <f>AV34+AV35+AV36</f>
        <v>-166.63</v>
      </c>
      <c r="AW37" s="84">
        <v>0</v>
      </c>
      <c r="AX37" s="87">
        <f>B37+F37+J37+N37+R37+V37+Z37+AD37+AH37+AL37+AP37+AT37</f>
        <v>4608.52</v>
      </c>
      <c r="AY37" s="87">
        <f>C37+G37+K37+O37+S37+W37+AA37+AE37+AI37+AM37+AQ37+AU37</f>
        <v>2000.0</v>
      </c>
      <c r="AZ37" s="87">
        <f>D37+H37+L37+P37+T37+X37+AB37+AF37+AJ37+AN37+AR37+AV37</f>
        <v>2608.5199999999995</v>
      </c>
      <c r="BA37" s="84">
        <v>2.3043</v>
      </c>
    </row>
    <row r="38" spans="1:53" ht="16" outlineLevel="1">
      <c r="A38" s="64" t="s">
        <v>35</v>
      </c>
      <c r="B38" s="77"/>
      <c r="C38" s="77"/>
      <c r="D38" s="77"/>
      <c r="E38" s="77" t="s">
        <v>4</v>
      </c>
      <c r="F38" s="77"/>
      <c r="G38" s="77"/>
      <c r="H38" s="77"/>
      <c r="I38" s="77" t="s">
        <v>4</v>
      </c>
      <c r="J38" s="77"/>
      <c r="K38" s="77"/>
      <c r="L38" s="77"/>
      <c r="M38" s="77" t="s">
        <v>4</v>
      </c>
      <c r="N38" s="77"/>
      <c r="O38" s="77"/>
      <c r="P38" s="77"/>
      <c r="Q38" s="77" t="s">
        <v>4</v>
      </c>
      <c r="R38" s="77"/>
      <c r="S38" s="77"/>
      <c r="T38" s="77"/>
      <c r="U38" s="77" t="s">
        <v>4</v>
      </c>
      <c r="V38" s="77"/>
      <c r="W38" s="77"/>
      <c r="X38" s="77"/>
      <c r="Y38" s="77" t="s">
        <v>4</v>
      </c>
      <c r="Z38" s="77"/>
      <c r="AA38" s="77"/>
      <c r="AB38" s="77"/>
      <c r="AC38" s="77" t="s">
        <v>4</v>
      </c>
      <c r="AD38" s="77"/>
      <c r="AE38" s="77"/>
      <c r="AF38" s="77"/>
      <c r="AG38" s="77" t="s">
        <v>4</v>
      </c>
      <c r="AH38" s="77"/>
      <c r="AI38" s="77"/>
      <c r="AJ38" s="77"/>
      <c r="AK38" s="77" t="s">
        <v>4</v>
      </c>
      <c r="AL38" s="77"/>
      <c r="AM38" s="77"/>
      <c r="AN38" s="77"/>
      <c r="AO38" s="77" t="s">
        <v>4</v>
      </c>
      <c r="AP38" s="77"/>
      <c r="AQ38" s="77"/>
      <c r="AR38" s="77"/>
      <c r="AS38" s="77" t="s">
        <v>4</v>
      </c>
      <c r="AT38" s="77"/>
      <c r="AU38" s="77"/>
      <c r="AV38" s="77"/>
      <c r="AW38" s="77" t="s">
        <v>4</v>
      </c>
      <c r="AX38" s="77"/>
      <c r="AY38" s="77"/>
      <c r="AZ38" s="77"/>
      <c r="BA38" s="77" t="s">
        <v>4</v>
      </c>
    </row>
    <row r="39" spans="1:53" ht="16" outlineLevel="2">
      <c r="A39" s="65" t="s">
        <v>36</v>
      </c>
      <c r="B39" s="77"/>
      <c r="C39" s="77"/>
      <c r="D39" s="77"/>
      <c r="E39" s="77" t="s">
        <v>4</v>
      </c>
      <c r="F39" s="77"/>
      <c r="G39" s="77"/>
      <c r="H39" s="77"/>
      <c r="I39" s="77" t="s">
        <v>4</v>
      </c>
      <c r="J39" s="77"/>
      <c r="K39" s="77"/>
      <c r="L39" s="77"/>
      <c r="M39" s="77" t="s">
        <v>4</v>
      </c>
      <c r="N39" s="77"/>
      <c r="O39" s="77"/>
      <c r="P39" s="77"/>
      <c r="Q39" s="77" t="s">
        <v>4</v>
      </c>
      <c r="R39" s="77"/>
      <c r="S39" s="77"/>
      <c r="T39" s="77"/>
      <c r="U39" s="77" t="s">
        <v>4</v>
      </c>
      <c r="V39" s="77"/>
      <c r="W39" s="77"/>
      <c r="X39" s="77"/>
      <c r="Y39" s="77" t="s">
        <v>4</v>
      </c>
      <c r="Z39" s="77"/>
      <c r="AA39" s="77"/>
      <c r="AB39" s="77"/>
      <c r="AC39" s="77" t="s">
        <v>4</v>
      </c>
      <c r="AD39" s="77"/>
      <c r="AE39" s="77"/>
      <c r="AF39" s="77"/>
      <c r="AG39" s="77" t="s">
        <v>4</v>
      </c>
      <c r="AH39" s="77"/>
      <c r="AI39" s="77"/>
      <c r="AJ39" s="77"/>
      <c r="AK39" s="77" t="s">
        <v>4</v>
      </c>
      <c r="AL39" s="77"/>
      <c r="AM39" s="77"/>
      <c r="AN39" s="77"/>
      <c r="AO39" s="77" t="s">
        <v>4</v>
      </c>
      <c r="AP39" s="77"/>
      <c r="AQ39" s="77"/>
      <c r="AR39" s="77"/>
      <c r="AS39" s="77" t="s">
        <v>4</v>
      </c>
      <c r="AT39" s="77"/>
      <c r="AU39" s="77"/>
      <c r="AV39" s="77"/>
      <c r="AW39" s="77" t="s">
        <v>4</v>
      </c>
      <c r="AX39" s="77"/>
      <c r="AY39" s="77"/>
      <c r="AZ39" s="77"/>
      <c r="BA39" s="77" t="s">
        <v>4</v>
      </c>
    </row>
    <row r="40" spans="1:53" ht="16" outlineLevel="3">
      <c r="A40" s="68" t="s">
        <v>37</v>
      </c>
      <c r="B40" s="78">
        <v>124.96</v>
      </c>
      <c r="C40" s="77"/>
      <c r="D40" s="78">
        <v>124.96</v>
      </c>
      <c r="E40" s="77" t="s">
        <v>4</v>
      </c>
      <c r="F40" s="77"/>
      <c r="G40" s="77"/>
      <c r="H40" s="77"/>
      <c r="I40" s="77" t="s">
        <v>4</v>
      </c>
      <c r="J40" s="77"/>
      <c r="K40" s="77"/>
      <c r="L40" s="77"/>
      <c r="M40" s="77" t="s">
        <v>4</v>
      </c>
      <c r="N40" s="77"/>
      <c r="O40" s="77"/>
      <c r="P40" s="77"/>
      <c r="Q40" s="77" t="s">
        <v>4</v>
      </c>
      <c r="R40" s="77"/>
      <c r="S40" s="77"/>
      <c r="T40" s="77"/>
      <c r="U40" s="77" t="s">
        <v>4</v>
      </c>
      <c r="V40" s="77"/>
      <c r="W40" s="77"/>
      <c r="X40" s="77"/>
      <c r="Y40" s="77" t="s">
        <v>4</v>
      </c>
      <c r="Z40" s="77"/>
      <c r="AA40" s="77"/>
      <c r="AB40" s="77"/>
      <c r="AC40" s="77" t="s">
        <v>4</v>
      </c>
      <c r="AD40" s="77"/>
      <c r="AE40" s="77"/>
      <c r="AF40" s="77"/>
      <c r="AG40" s="77" t="s">
        <v>4</v>
      </c>
      <c r="AH40" s="77"/>
      <c r="AI40" s="77"/>
      <c r="AJ40" s="77"/>
      <c r="AK40" s="77" t="s">
        <v>4</v>
      </c>
      <c r="AL40" s="77"/>
      <c r="AM40" s="77"/>
      <c r="AN40" s="77"/>
      <c r="AO40" s="77" t="s">
        <v>4</v>
      </c>
      <c r="AP40" s="77"/>
      <c r="AQ40" s="77"/>
      <c r="AR40" s="77"/>
      <c r="AS40" s="77" t="s">
        <v>4</v>
      </c>
      <c r="AT40" s="77"/>
      <c r="AU40" s="77"/>
      <c r="AV40" s="77"/>
      <c r="AW40" s="77" t="s">
        <v>4</v>
      </c>
      <c r="AX40" s="78">
        <f>B40+F40+J40+N40+R40+V40+Z40+AD40+AH40+AL40+AP40+AT40</f>
        <v>124.96</v>
      </c>
      <c r="AY40" s="77"/>
      <c r="AZ40" s="78">
        <f>D40+H40+L40+P40+T40+X40+AB40+AF40+AJ40+AN40+AR40+AV40</f>
        <v>124.96</v>
      </c>
      <c r="BA40" s="77" t="s">
        <v>4</v>
      </c>
    </row>
    <row r="41" spans="1:53" ht="16" outlineLevel="2">
      <c r="A41" s="69" t="s">
        <v>38</v>
      </c>
      <c r="B41" s="79">
        <f>B39+B40</f>
        <v>124.96</v>
      </c>
      <c r="C41" s="79"/>
      <c r="D41" s="79">
        <f>D39+D40</f>
        <v>124.96</v>
      </c>
      <c r="E41" s="85" t="s">
        <v>4</v>
      </c>
      <c r="F41" s="79"/>
      <c r="G41" s="79"/>
      <c r="H41" s="79"/>
      <c r="I41" s="85" t="s">
        <v>4</v>
      </c>
      <c r="J41" s="79"/>
      <c r="K41" s="79"/>
      <c r="L41" s="79"/>
      <c r="M41" s="85" t="s">
        <v>4</v>
      </c>
      <c r="N41" s="79"/>
      <c r="O41" s="79"/>
      <c r="P41" s="79"/>
      <c r="Q41" s="85" t="s">
        <v>4</v>
      </c>
      <c r="R41" s="79"/>
      <c r="S41" s="79"/>
      <c r="T41" s="79"/>
      <c r="U41" s="85" t="s">
        <v>4</v>
      </c>
      <c r="V41" s="79"/>
      <c r="W41" s="79"/>
      <c r="X41" s="79"/>
      <c r="Y41" s="85" t="s">
        <v>4</v>
      </c>
      <c r="Z41" s="79"/>
      <c r="AA41" s="79"/>
      <c r="AB41" s="79"/>
      <c r="AC41" s="85" t="s">
        <v>4</v>
      </c>
      <c r="AD41" s="79"/>
      <c r="AE41" s="79"/>
      <c r="AF41" s="79"/>
      <c r="AG41" s="85" t="s">
        <v>4</v>
      </c>
      <c r="AH41" s="79"/>
      <c r="AI41" s="79"/>
      <c r="AJ41" s="79"/>
      <c r="AK41" s="85" t="s">
        <v>4</v>
      </c>
      <c r="AL41" s="79"/>
      <c r="AM41" s="79"/>
      <c r="AN41" s="79"/>
      <c r="AO41" s="85" t="s">
        <v>4</v>
      </c>
      <c r="AP41" s="79"/>
      <c r="AQ41" s="79"/>
      <c r="AR41" s="79"/>
      <c r="AS41" s="85" t="s">
        <v>4</v>
      </c>
      <c r="AT41" s="79"/>
      <c r="AU41" s="79"/>
      <c r="AV41" s="79"/>
      <c r="AW41" s="85" t="s">
        <v>4</v>
      </c>
      <c r="AX41" s="87">
        <f>B41+F41+J41+N41+R41+V41+Z41+AD41+AH41+AL41+AP41+AT41</f>
        <v>124.96</v>
      </c>
      <c r="AY41" s="79"/>
      <c r="AZ41" s="87">
        <f>D41+H41+L41+P41+T41+X41+AB41+AF41+AJ41+AN41+AR41+AV41</f>
        <v>124.96</v>
      </c>
      <c r="BA41" s="85" t="s">
        <v>4</v>
      </c>
    </row>
    <row r="42" spans="1:53" ht="16" outlineLevel="1">
      <c r="A42" s="66" t="s">
        <v>39</v>
      </c>
      <c r="B42" s="79">
        <f>B38+B41</f>
        <v>124.96</v>
      </c>
      <c r="C42" s="79"/>
      <c r="D42" s="79">
        <f>D38+D41</f>
        <v>124.96</v>
      </c>
      <c r="E42" s="85" t="s">
        <v>4</v>
      </c>
      <c r="F42" s="79"/>
      <c r="G42" s="79"/>
      <c r="H42" s="79"/>
      <c r="I42" s="85" t="s">
        <v>4</v>
      </c>
      <c r="J42" s="79"/>
      <c r="K42" s="79"/>
      <c r="L42" s="79"/>
      <c r="M42" s="85" t="s">
        <v>4</v>
      </c>
      <c r="N42" s="79"/>
      <c r="O42" s="79"/>
      <c r="P42" s="79"/>
      <c r="Q42" s="85" t="s">
        <v>4</v>
      </c>
      <c r="R42" s="79"/>
      <c r="S42" s="79"/>
      <c r="T42" s="79"/>
      <c r="U42" s="85" t="s">
        <v>4</v>
      </c>
      <c r="V42" s="79"/>
      <c r="W42" s="79"/>
      <c r="X42" s="79"/>
      <c r="Y42" s="85" t="s">
        <v>4</v>
      </c>
      <c r="Z42" s="79"/>
      <c r="AA42" s="79"/>
      <c r="AB42" s="79"/>
      <c r="AC42" s="85" t="s">
        <v>4</v>
      </c>
      <c r="AD42" s="79"/>
      <c r="AE42" s="79"/>
      <c r="AF42" s="79"/>
      <c r="AG42" s="85" t="s">
        <v>4</v>
      </c>
      <c r="AH42" s="79"/>
      <c r="AI42" s="79"/>
      <c r="AJ42" s="79"/>
      <c r="AK42" s="85" t="s">
        <v>4</v>
      </c>
      <c r="AL42" s="79"/>
      <c r="AM42" s="79"/>
      <c r="AN42" s="79"/>
      <c r="AO42" s="85" t="s">
        <v>4</v>
      </c>
      <c r="AP42" s="79"/>
      <c r="AQ42" s="79"/>
      <c r="AR42" s="79"/>
      <c r="AS42" s="85" t="s">
        <v>4</v>
      </c>
      <c r="AT42" s="79"/>
      <c r="AU42" s="79"/>
      <c r="AV42" s="79"/>
      <c r="AW42" s="85" t="s">
        <v>4</v>
      </c>
      <c r="AX42" s="87">
        <f>B42+F42+J42+N42+R42+V42+Z42+AD42+AH42+AL42+AP42+AT42</f>
        <v>124.96</v>
      </c>
      <c r="AY42" s="79"/>
      <c r="AZ42" s="87">
        <f>D42+H42+L42+P42+T42+X42+AB42+AF42+AJ42+AN42+AR42+AV42</f>
        <v>124.96</v>
      </c>
      <c r="BA42" s="85" t="s">
        <v>4</v>
      </c>
    </row>
    <row r="43" spans="1:53" ht="16" outlineLevel="1">
      <c r="A43" s="64" t="s">
        <v>40</v>
      </c>
      <c r="B43" s="77"/>
      <c r="C43" s="77"/>
      <c r="D43" s="77"/>
      <c r="E43" s="77" t="s">
        <v>4</v>
      </c>
      <c r="F43" s="77"/>
      <c r="G43" s="77"/>
      <c r="H43" s="77"/>
      <c r="I43" s="77" t="s">
        <v>4</v>
      </c>
      <c r="J43" s="77"/>
      <c r="K43" s="77"/>
      <c r="L43" s="77"/>
      <c r="M43" s="77" t="s">
        <v>4</v>
      </c>
      <c r="N43" s="77"/>
      <c r="O43" s="77"/>
      <c r="P43" s="77"/>
      <c r="Q43" s="77" t="s">
        <v>4</v>
      </c>
      <c r="R43" s="77"/>
      <c r="S43" s="77"/>
      <c r="T43" s="77"/>
      <c r="U43" s="77" t="s">
        <v>4</v>
      </c>
      <c r="V43" s="77"/>
      <c r="W43" s="77"/>
      <c r="X43" s="77"/>
      <c r="Y43" s="77" t="s">
        <v>4</v>
      </c>
      <c r="Z43" s="77"/>
      <c r="AA43" s="77"/>
      <c r="AB43" s="77"/>
      <c r="AC43" s="77" t="s">
        <v>4</v>
      </c>
      <c r="AD43" s="77"/>
      <c r="AE43" s="77"/>
      <c r="AF43" s="77"/>
      <c r="AG43" s="77" t="s">
        <v>4</v>
      </c>
      <c r="AH43" s="77"/>
      <c r="AI43" s="77"/>
      <c r="AJ43" s="77"/>
      <c r="AK43" s="77" t="s">
        <v>4</v>
      </c>
      <c r="AL43" s="77"/>
      <c r="AM43" s="77"/>
      <c r="AN43" s="77"/>
      <c r="AO43" s="77" t="s">
        <v>4</v>
      </c>
      <c r="AP43" s="77"/>
      <c r="AQ43" s="77"/>
      <c r="AR43" s="77"/>
      <c r="AS43" s="77" t="s">
        <v>4</v>
      </c>
      <c r="AT43" s="77"/>
      <c r="AU43" s="77"/>
      <c r="AV43" s="77"/>
      <c r="AW43" s="77" t="s">
        <v>4</v>
      </c>
      <c r="AX43" s="77"/>
      <c r="AY43" s="77"/>
      <c r="AZ43" s="77"/>
      <c r="BA43" s="77" t="s">
        <v>4</v>
      </c>
    </row>
    <row r="44" spans="1:53" ht="16" outlineLevel="2">
      <c r="A44" s="65" t="s">
        <v>41</v>
      </c>
      <c r="B44" s="78">
        <v>3828.73</v>
      </c>
      <c r="C44" s="77"/>
      <c r="D44" s="78">
        <v>3828.73</v>
      </c>
      <c r="E44" s="77" t="s">
        <v>4</v>
      </c>
      <c r="F44" s="78">
        <v>3718.45</v>
      </c>
      <c r="G44" s="77"/>
      <c r="H44" s="78">
        <v>3718.45</v>
      </c>
      <c r="I44" s="77" t="s">
        <v>4</v>
      </c>
      <c r="J44" s="77"/>
      <c r="K44" s="77"/>
      <c r="L44" s="77"/>
      <c r="M44" s="77" t="s">
        <v>4</v>
      </c>
      <c r="N44" s="77"/>
      <c r="O44" s="77"/>
      <c r="P44" s="77"/>
      <c r="Q44" s="77" t="s">
        <v>4</v>
      </c>
      <c r="R44" s="77"/>
      <c r="S44" s="77"/>
      <c r="T44" s="77"/>
      <c r="U44" s="77" t="s">
        <v>4</v>
      </c>
      <c r="V44" s="77"/>
      <c r="W44" s="77"/>
      <c r="X44" s="77"/>
      <c r="Y44" s="77" t="s">
        <v>4</v>
      </c>
      <c r="Z44" s="77"/>
      <c r="AA44" s="77"/>
      <c r="AB44" s="77"/>
      <c r="AC44" s="77" t="s">
        <v>4</v>
      </c>
      <c r="AD44" s="77"/>
      <c r="AE44" s="77"/>
      <c r="AF44" s="77"/>
      <c r="AG44" s="77" t="s">
        <v>4</v>
      </c>
      <c r="AH44" s="77"/>
      <c r="AI44" s="77"/>
      <c r="AJ44" s="77"/>
      <c r="AK44" s="77" t="s">
        <v>4</v>
      </c>
      <c r="AL44" s="77"/>
      <c r="AM44" s="77"/>
      <c r="AN44" s="77"/>
      <c r="AO44" s="77" t="s">
        <v>4</v>
      </c>
      <c r="AP44" s="77"/>
      <c r="AQ44" s="77"/>
      <c r="AR44" s="77"/>
      <c r="AS44" s="77" t="s">
        <v>4</v>
      </c>
      <c r="AT44" s="77"/>
      <c r="AU44" s="77"/>
      <c r="AV44" s="77"/>
      <c r="AW44" s="77" t="s">
        <v>4</v>
      </c>
      <c r="AX44" s="78">
        <f>B44+F44+J44+N44+R44+V44+Z44+AD44+AH44+AL44+AP44+AT44</f>
        <v>7547.18</v>
      </c>
      <c r="AY44" s="77"/>
      <c r="AZ44" s="78">
        <f>D44+H44+L44+P44+T44+X44+AB44+AF44+AJ44+AN44+AR44+AV44</f>
        <v>7547.18</v>
      </c>
      <c r="BA44" s="77" t="s">
        <v>4</v>
      </c>
    </row>
    <row r="45" spans="1:53" ht="16" outlineLevel="2">
      <c r="A45" s="65" t="s">
        <v>42</v>
      </c>
      <c r="B45" s="78">
        <v>5000.0</v>
      </c>
      <c r="C45" s="77"/>
      <c r="D45" s="78">
        <v>5000.0</v>
      </c>
      <c r="E45" s="77" t="s">
        <v>4</v>
      </c>
      <c r="F45" s="78">
        <v>5000.0</v>
      </c>
      <c r="G45" s="77"/>
      <c r="H45" s="78">
        <v>5000.0</v>
      </c>
      <c r="I45" s="77" t="s">
        <v>4</v>
      </c>
      <c r="J45" s="77"/>
      <c r="K45" s="77"/>
      <c r="L45" s="77"/>
      <c r="M45" s="77" t="s">
        <v>4</v>
      </c>
      <c r="N45" s="77"/>
      <c r="O45" s="77"/>
      <c r="P45" s="77"/>
      <c r="Q45" s="77" t="s">
        <v>4</v>
      </c>
      <c r="R45" s="77"/>
      <c r="S45" s="77"/>
      <c r="T45" s="77"/>
      <c r="U45" s="77" t="s">
        <v>4</v>
      </c>
      <c r="V45" s="77"/>
      <c r="W45" s="77"/>
      <c r="X45" s="77"/>
      <c r="Y45" s="77" t="s">
        <v>4</v>
      </c>
      <c r="Z45" s="77"/>
      <c r="AA45" s="77"/>
      <c r="AB45" s="77"/>
      <c r="AC45" s="77" t="s">
        <v>4</v>
      </c>
      <c r="AD45" s="77"/>
      <c r="AE45" s="77"/>
      <c r="AF45" s="77"/>
      <c r="AG45" s="77" t="s">
        <v>4</v>
      </c>
      <c r="AH45" s="77"/>
      <c r="AI45" s="77"/>
      <c r="AJ45" s="77"/>
      <c r="AK45" s="77" t="s">
        <v>4</v>
      </c>
      <c r="AL45" s="77"/>
      <c r="AM45" s="77"/>
      <c r="AN45" s="77"/>
      <c r="AO45" s="77" t="s">
        <v>4</v>
      </c>
      <c r="AP45" s="77"/>
      <c r="AQ45" s="77"/>
      <c r="AR45" s="77"/>
      <c r="AS45" s="77" t="s">
        <v>4</v>
      </c>
      <c r="AT45" s="77"/>
      <c r="AU45" s="77"/>
      <c r="AV45" s="77"/>
      <c r="AW45" s="77" t="s">
        <v>4</v>
      </c>
      <c r="AX45" s="78">
        <f>B45+F45+J45+N45+R45+V45+Z45+AD45+AH45+AL45+AP45+AT45</f>
        <v>10000.0</v>
      </c>
      <c r="AY45" s="77"/>
      <c r="AZ45" s="78">
        <f>D45+H45+L45+P45+T45+X45+AB45+AF45+AJ45+AN45+AR45+AV45</f>
        <v>10000.0</v>
      </c>
      <c r="BA45" s="77" t="s">
        <v>4</v>
      </c>
    </row>
    <row r="46" spans="1:53" ht="16" outlineLevel="2">
      <c r="A46" s="65" t="s">
        <v>43</v>
      </c>
      <c r="B46" s="78">
        <v>23654.1</v>
      </c>
      <c r="C46" s="78">
        <v>560.0</v>
      </c>
      <c r="D46" s="78">
        <v>23094.1</v>
      </c>
      <c r="E46" s="83">
        <v>42.2395</v>
      </c>
      <c r="F46" s="78">
        <v>23271.6</v>
      </c>
      <c r="G46" s="78">
        <v>560.0</v>
      </c>
      <c r="H46" s="78">
        <v>22711.6</v>
      </c>
      <c r="I46" s="83">
        <v>41.556400000000004</v>
      </c>
      <c r="J46" s="77"/>
      <c r="K46" s="78">
        <v>560.0</v>
      </c>
      <c r="L46" s="82">
        <v>-560.0</v>
      </c>
      <c r="M46" s="83">
        <v>0</v>
      </c>
      <c r="N46" s="77"/>
      <c r="O46" s="78">
        <v>560.0</v>
      </c>
      <c r="P46" s="82">
        <v>-560.0</v>
      </c>
      <c r="Q46" s="83">
        <v>0</v>
      </c>
      <c r="R46" s="77"/>
      <c r="S46" s="78">
        <v>560.0</v>
      </c>
      <c r="T46" s="82">
        <v>-560.0</v>
      </c>
      <c r="U46" s="83">
        <v>0</v>
      </c>
      <c r="V46" s="77"/>
      <c r="W46" s="78">
        <v>560.0</v>
      </c>
      <c r="X46" s="82">
        <v>-560.0</v>
      </c>
      <c r="Y46" s="83">
        <v>0</v>
      </c>
      <c r="Z46" s="77"/>
      <c r="AA46" s="78">
        <v>560.0</v>
      </c>
      <c r="AB46" s="82">
        <v>-560.0</v>
      </c>
      <c r="AC46" s="83">
        <v>0</v>
      </c>
      <c r="AD46" s="77"/>
      <c r="AE46" s="78">
        <v>560.0</v>
      </c>
      <c r="AF46" s="82">
        <v>-560.0</v>
      </c>
      <c r="AG46" s="83">
        <v>0</v>
      </c>
      <c r="AH46" s="77"/>
      <c r="AI46" s="78">
        <v>560.0</v>
      </c>
      <c r="AJ46" s="82">
        <v>-560.0</v>
      </c>
      <c r="AK46" s="83">
        <v>0</v>
      </c>
      <c r="AL46" s="77"/>
      <c r="AM46" s="78">
        <v>560.0</v>
      </c>
      <c r="AN46" s="82">
        <v>-560.0</v>
      </c>
      <c r="AO46" s="83">
        <v>0</v>
      </c>
      <c r="AP46" s="77"/>
      <c r="AQ46" s="78">
        <v>560.0</v>
      </c>
      <c r="AR46" s="82">
        <v>-560.0</v>
      </c>
      <c r="AS46" s="83">
        <v>0</v>
      </c>
      <c r="AT46" s="77"/>
      <c r="AU46" s="78">
        <v>560.0</v>
      </c>
      <c r="AV46" s="82">
        <v>-560.0</v>
      </c>
      <c r="AW46" s="83">
        <v>0</v>
      </c>
      <c r="AX46" s="78">
        <f>B46+F46+J46+N46+R46+V46+Z46+AD46+AH46+AL46+AP46+AT46</f>
        <v>46925.7</v>
      </c>
      <c r="AY46" s="78">
        <f>C46+G46+K46+O46+S46+W46+AA46+AE46+AI46+AM46+AQ46+AU46</f>
        <v>6720.0</v>
      </c>
      <c r="AZ46" s="78">
        <f>D46+H46+L46+P46+T46+X46+AB46+AF46+AJ46+AN46+AR46+AV46</f>
        <v>40205.7</v>
      </c>
      <c r="BA46" s="83">
        <v>6.983</v>
      </c>
    </row>
    <row r="47" spans="1:53" ht="16" outlineLevel="2">
      <c r="A47" s="65" t="s">
        <v>44</v>
      </c>
      <c r="B47" s="78">
        <v>102.24</v>
      </c>
      <c r="C47" s="77"/>
      <c r="D47" s="78">
        <v>102.24</v>
      </c>
      <c r="E47" s="77" t="s">
        <v>4</v>
      </c>
      <c r="F47" s="78">
        <v>34.08</v>
      </c>
      <c r="G47" s="77"/>
      <c r="H47" s="78">
        <v>34.08</v>
      </c>
      <c r="I47" s="77" t="s">
        <v>4</v>
      </c>
      <c r="J47" s="77"/>
      <c r="K47" s="77"/>
      <c r="L47" s="77"/>
      <c r="M47" s="77" t="s">
        <v>4</v>
      </c>
      <c r="N47" s="77"/>
      <c r="O47" s="77"/>
      <c r="P47" s="77"/>
      <c r="Q47" s="77" t="s">
        <v>4</v>
      </c>
      <c r="R47" s="77"/>
      <c r="S47" s="77"/>
      <c r="T47" s="77"/>
      <c r="U47" s="77" t="s">
        <v>4</v>
      </c>
      <c r="V47" s="77"/>
      <c r="W47" s="77"/>
      <c r="X47" s="77"/>
      <c r="Y47" s="77" t="s">
        <v>4</v>
      </c>
      <c r="Z47" s="77"/>
      <c r="AA47" s="77"/>
      <c r="AB47" s="77"/>
      <c r="AC47" s="77" t="s">
        <v>4</v>
      </c>
      <c r="AD47" s="77"/>
      <c r="AE47" s="77"/>
      <c r="AF47" s="77"/>
      <c r="AG47" s="77" t="s">
        <v>4</v>
      </c>
      <c r="AH47" s="77"/>
      <c r="AI47" s="77"/>
      <c r="AJ47" s="77"/>
      <c r="AK47" s="77" t="s">
        <v>4</v>
      </c>
      <c r="AL47" s="77"/>
      <c r="AM47" s="77"/>
      <c r="AN47" s="77"/>
      <c r="AO47" s="77" t="s">
        <v>4</v>
      </c>
      <c r="AP47" s="77"/>
      <c r="AQ47" s="77"/>
      <c r="AR47" s="77"/>
      <c r="AS47" s="77" t="s">
        <v>4</v>
      </c>
      <c r="AT47" s="77"/>
      <c r="AU47" s="77"/>
      <c r="AV47" s="77"/>
      <c r="AW47" s="77" t="s">
        <v>4</v>
      </c>
      <c r="AX47" s="78">
        <f>B47+F47+J47+N47+R47+V47+Z47+AD47+AH47+AL47+AP47+AT47</f>
        <v>136.32</v>
      </c>
      <c r="AY47" s="77"/>
      <c r="AZ47" s="78">
        <f>D47+H47+L47+P47+T47+X47+AB47+AF47+AJ47+AN47+AR47+AV47</f>
        <v>136.32</v>
      </c>
      <c r="BA47" s="77" t="s">
        <v>4</v>
      </c>
    </row>
    <row r="48" spans="1:53" ht="16" outlineLevel="2">
      <c r="A48" s="65" t="s">
        <v>45</v>
      </c>
      <c r="B48" s="78">
        <v>3069.67</v>
      </c>
      <c r="C48" s="77"/>
      <c r="D48" s="78">
        <v>3069.67</v>
      </c>
      <c r="E48" s="77" t="s">
        <v>4</v>
      </c>
      <c r="F48" s="78">
        <v>3004.71</v>
      </c>
      <c r="G48" s="77"/>
      <c r="H48" s="78">
        <v>3004.71</v>
      </c>
      <c r="I48" s="77" t="s">
        <v>4</v>
      </c>
      <c r="J48" s="77"/>
      <c r="K48" s="77"/>
      <c r="L48" s="77"/>
      <c r="M48" s="77" t="s">
        <v>4</v>
      </c>
      <c r="N48" s="77"/>
      <c r="O48" s="77"/>
      <c r="P48" s="77"/>
      <c r="Q48" s="77" t="s">
        <v>4</v>
      </c>
      <c r="R48" s="77"/>
      <c r="S48" s="77"/>
      <c r="T48" s="77"/>
      <c r="U48" s="77" t="s">
        <v>4</v>
      </c>
      <c r="V48" s="77"/>
      <c r="W48" s="77"/>
      <c r="X48" s="77"/>
      <c r="Y48" s="77" t="s">
        <v>4</v>
      </c>
      <c r="Z48" s="77"/>
      <c r="AA48" s="77"/>
      <c r="AB48" s="77"/>
      <c r="AC48" s="77" t="s">
        <v>4</v>
      </c>
      <c r="AD48" s="77"/>
      <c r="AE48" s="77"/>
      <c r="AF48" s="77"/>
      <c r="AG48" s="77" t="s">
        <v>4</v>
      </c>
      <c r="AH48" s="77"/>
      <c r="AI48" s="77"/>
      <c r="AJ48" s="77"/>
      <c r="AK48" s="77" t="s">
        <v>4</v>
      </c>
      <c r="AL48" s="77"/>
      <c r="AM48" s="77"/>
      <c r="AN48" s="77"/>
      <c r="AO48" s="77" t="s">
        <v>4</v>
      </c>
      <c r="AP48" s="77"/>
      <c r="AQ48" s="77"/>
      <c r="AR48" s="77"/>
      <c r="AS48" s="77" t="s">
        <v>4</v>
      </c>
      <c r="AT48" s="77"/>
      <c r="AU48" s="77"/>
      <c r="AV48" s="77"/>
      <c r="AW48" s="77" t="s">
        <v>4</v>
      </c>
      <c r="AX48" s="78">
        <f>B48+F48+J48+N48+R48+V48+Z48+AD48+AH48+AL48+AP48+AT48</f>
        <v>6074.38</v>
      </c>
      <c r="AY48" s="77"/>
      <c r="AZ48" s="78">
        <f>D48+H48+L48+P48+T48+X48+AB48+AF48+AJ48+AN48+AR48+AV48</f>
        <v>6074.38</v>
      </c>
      <c r="BA48" s="77" t="s">
        <v>4</v>
      </c>
    </row>
    <row r="49" spans="1:53" ht="16" outlineLevel="2">
      <c r="A49" s="65" t="s">
        <v>46</v>
      </c>
      <c r="B49" s="78">
        <v>740.0</v>
      </c>
      <c r="C49" s="77"/>
      <c r="D49" s="78">
        <v>740.0</v>
      </c>
      <c r="E49" s="77" t="s">
        <v>4</v>
      </c>
      <c r="F49" s="78">
        <v>640.0</v>
      </c>
      <c r="G49" s="77"/>
      <c r="H49" s="78">
        <v>640.0</v>
      </c>
      <c r="I49" s="77" t="s">
        <v>4</v>
      </c>
      <c r="J49" s="77"/>
      <c r="K49" s="77"/>
      <c r="L49" s="77"/>
      <c r="M49" s="77" t="s">
        <v>4</v>
      </c>
      <c r="N49" s="77"/>
      <c r="O49" s="77"/>
      <c r="P49" s="77"/>
      <c r="Q49" s="77" t="s">
        <v>4</v>
      </c>
      <c r="R49" s="77"/>
      <c r="S49" s="77"/>
      <c r="T49" s="77"/>
      <c r="U49" s="77" t="s">
        <v>4</v>
      </c>
      <c r="V49" s="77"/>
      <c r="W49" s="77"/>
      <c r="X49" s="77"/>
      <c r="Y49" s="77" t="s">
        <v>4</v>
      </c>
      <c r="Z49" s="77"/>
      <c r="AA49" s="77"/>
      <c r="AB49" s="77"/>
      <c r="AC49" s="77" t="s">
        <v>4</v>
      </c>
      <c r="AD49" s="77"/>
      <c r="AE49" s="77"/>
      <c r="AF49" s="77"/>
      <c r="AG49" s="77" t="s">
        <v>4</v>
      </c>
      <c r="AH49" s="77"/>
      <c r="AI49" s="77"/>
      <c r="AJ49" s="77"/>
      <c r="AK49" s="77" t="s">
        <v>4</v>
      </c>
      <c r="AL49" s="77"/>
      <c r="AM49" s="77"/>
      <c r="AN49" s="77"/>
      <c r="AO49" s="77" t="s">
        <v>4</v>
      </c>
      <c r="AP49" s="77"/>
      <c r="AQ49" s="77"/>
      <c r="AR49" s="77"/>
      <c r="AS49" s="77" t="s">
        <v>4</v>
      </c>
      <c r="AT49" s="77"/>
      <c r="AU49" s="77"/>
      <c r="AV49" s="77"/>
      <c r="AW49" s="77" t="s">
        <v>4</v>
      </c>
      <c r="AX49" s="78">
        <f>B49+F49+J49+N49+R49+V49+Z49+AD49+AH49+AL49+AP49+AT49</f>
        <v>1380.0</v>
      </c>
      <c r="AY49" s="77"/>
      <c r="AZ49" s="78">
        <f>D49+H49+L49+P49+T49+X49+AB49+AF49+AJ49+AN49+AR49+AV49</f>
        <v>1380.0</v>
      </c>
      <c r="BA49" s="77" t="s">
        <v>4</v>
      </c>
    </row>
    <row r="50" spans="1:53" ht="16" outlineLevel="2">
      <c r="A50" s="65" t="s">
        <v>47</v>
      </c>
      <c r="B50" s="77"/>
      <c r="C50" s="78">
        <v>4583.33</v>
      </c>
      <c r="D50" s="82">
        <v>-4583.33</v>
      </c>
      <c r="E50" s="83">
        <v>0</v>
      </c>
      <c r="F50" s="77"/>
      <c r="G50" s="78">
        <v>4583.33</v>
      </c>
      <c r="H50" s="82">
        <v>-4583.33</v>
      </c>
      <c r="I50" s="83">
        <v>0</v>
      </c>
      <c r="J50" s="77"/>
      <c r="K50" s="78">
        <v>4583.33</v>
      </c>
      <c r="L50" s="82">
        <v>-4583.33</v>
      </c>
      <c r="M50" s="83">
        <v>0</v>
      </c>
      <c r="N50" s="77"/>
      <c r="O50" s="78">
        <v>4583.33</v>
      </c>
      <c r="P50" s="82">
        <v>-4583.33</v>
      </c>
      <c r="Q50" s="83">
        <v>0</v>
      </c>
      <c r="R50" s="77"/>
      <c r="S50" s="78">
        <v>4583.33</v>
      </c>
      <c r="T50" s="82">
        <v>-4583.33</v>
      </c>
      <c r="U50" s="83">
        <v>0</v>
      </c>
      <c r="V50" s="77"/>
      <c r="W50" s="78">
        <v>4583.33</v>
      </c>
      <c r="X50" s="82">
        <v>-4583.33</v>
      </c>
      <c r="Y50" s="83">
        <v>0</v>
      </c>
      <c r="Z50" s="77"/>
      <c r="AA50" s="78">
        <v>4583.33</v>
      </c>
      <c r="AB50" s="82">
        <v>-4583.33</v>
      </c>
      <c r="AC50" s="83">
        <v>0</v>
      </c>
      <c r="AD50" s="77"/>
      <c r="AE50" s="78">
        <v>4583.33</v>
      </c>
      <c r="AF50" s="82">
        <v>-4583.33</v>
      </c>
      <c r="AG50" s="83">
        <v>0</v>
      </c>
      <c r="AH50" s="77"/>
      <c r="AI50" s="78">
        <v>4583.33</v>
      </c>
      <c r="AJ50" s="82">
        <v>-4583.33</v>
      </c>
      <c r="AK50" s="83">
        <v>0</v>
      </c>
      <c r="AL50" s="77"/>
      <c r="AM50" s="78">
        <v>4583.33</v>
      </c>
      <c r="AN50" s="82">
        <v>-4583.33</v>
      </c>
      <c r="AO50" s="83">
        <v>0</v>
      </c>
      <c r="AP50" s="77"/>
      <c r="AQ50" s="78">
        <v>4583.33</v>
      </c>
      <c r="AR50" s="82">
        <v>-4583.33</v>
      </c>
      <c r="AS50" s="83">
        <v>0</v>
      </c>
      <c r="AT50" s="77"/>
      <c r="AU50" s="78">
        <v>4583.37</v>
      </c>
      <c r="AV50" s="82">
        <v>-4583.37</v>
      </c>
      <c r="AW50" s="83">
        <v>0</v>
      </c>
      <c r="AX50" s="77"/>
      <c r="AY50" s="78">
        <f>C50+G50+K50+O50+S50+W50+AA50+AE50+AI50+AM50+AQ50+AU50</f>
        <v>55000.000000000015</v>
      </c>
      <c r="AZ50" s="82">
        <f>D50+H50+L50+P50+T50+X50+AB50+AF50+AJ50+AN50+AR50+AV50</f>
        <v>-55000.000000000015</v>
      </c>
      <c r="BA50" s="89">
        <f>IFERROR(E50+I50+M50+Q50+U50+Y50+AC50+AG50+AK50+AO50+AS50+AW50,"")</f>
        <v>0.0</v>
      </c>
    </row>
    <row r="51" spans="1:53" ht="16" outlineLevel="2">
      <c r="A51" s="65" t="s">
        <v>48</v>
      </c>
      <c r="B51" s="77"/>
      <c r="C51" s="78">
        <v>32083.33</v>
      </c>
      <c r="D51" s="82">
        <v>-32083.33</v>
      </c>
      <c r="E51" s="83">
        <v>0</v>
      </c>
      <c r="F51" s="77"/>
      <c r="G51" s="78">
        <v>32083.33</v>
      </c>
      <c r="H51" s="82">
        <v>-32083.33</v>
      </c>
      <c r="I51" s="83">
        <v>0</v>
      </c>
      <c r="J51" s="77"/>
      <c r="K51" s="78">
        <v>32083.33</v>
      </c>
      <c r="L51" s="82">
        <v>-32083.33</v>
      </c>
      <c r="M51" s="83">
        <v>0</v>
      </c>
      <c r="N51" s="77"/>
      <c r="O51" s="78">
        <v>32083.33</v>
      </c>
      <c r="P51" s="82">
        <v>-32083.33</v>
      </c>
      <c r="Q51" s="83">
        <v>0</v>
      </c>
      <c r="R51" s="77"/>
      <c r="S51" s="78">
        <v>32083.33</v>
      </c>
      <c r="T51" s="82">
        <v>-32083.33</v>
      </c>
      <c r="U51" s="83">
        <v>0</v>
      </c>
      <c r="V51" s="77"/>
      <c r="W51" s="78">
        <v>32083.33</v>
      </c>
      <c r="X51" s="82">
        <v>-32083.33</v>
      </c>
      <c r="Y51" s="83">
        <v>0</v>
      </c>
      <c r="Z51" s="77"/>
      <c r="AA51" s="78">
        <v>32083.33</v>
      </c>
      <c r="AB51" s="82">
        <v>-32083.33</v>
      </c>
      <c r="AC51" s="83">
        <v>0</v>
      </c>
      <c r="AD51" s="77"/>
      <c r="AE51" s="78">
        <v>32083.33</v>
      </c>
      <c r="AF51" s="82">
        <v>-32083.33</v>
      </c>
      <c r="AG51" s="83">
        <v>0</v>
      </c>
      <c r="AH51" s="77"/>
      <c r="AI51" s="78">
        <v>32083.33</v>
      </c>
      <c r="AJ51" s="82">
        <v>-32083.33</v>
      </c>
      <c r="AK51" s="83">
        <v>0</v>
      </c>
      <c r="AL51" s="77"/>
      <c r="AM51" s="78">
        <v>32083.33</v>
      </c>
      <c r="AN51" s="82">
        <v>-32083.33</v>
      </c>
      <c r="AO51" s="83">
        <v>0</v>
      </c>
      <c r="AP51" s="77"/>
      <c r="AQ51" s="78">
        <v>32083.33</v>
      </c>
      <c r="AR51" s="82">
        <v>-32083.33</v>
      </c>
      <c r="AS51" s="83">
        <v>0</v>
      </c>
      <c r="AT51" s="77"/>
      <c r="AU51" s="78">
        <v>32083.37</v>
      </c>
      <c r="AV51" s="82">
        <v>-32083.37</v>
      </c>
      <c r="AW51" s="83">
        <v>0</v>
      </c>
      <c r="AX51" s="77"/>
      <c r="AY51" s="78">
        <f>C51+G51+K51+O51+S51+W51+AA51+AE51+AI51+AM51+AQ51+AU51</f>
        <v>385000.0000000001</v>
      </c>
      <c r="AZ51" s="82">
        <f>D51+H51+L51+P51+T51+X51+AB51+AF51+AJ51+AN51+AR51+AV51</f>
        <v>-385000.0000000001</v>
      </c>
      <c r="BA51" s="89">
        <f>IFERROR(E51+I51+M51+Q51+U51+Y51+AC51+AG51+AK51+AO51+AS51+AW51,"")</f>
        <v>0.0</v>
      </c>
    </row>
    <row r="52" spans="1:53" ht="16" outlineLevel="1">
      <c r="A52" s="66" t="s">
        <v>49</v>
      </c>
      <c r="B52" s="79">
        <f>B43+B44+B45+B46+B47+B48+B49+B50+B51</f>
        <v>36394.74</v>
      </c>
      <c r="C52" s="79">
        <f>C43+C44+C45+C46+C47+C48+C49+C50+C51</f>
        <v>37226.66</v>
      </c>
      <c r="D52" s="80">
        <f>D43+D44+D45+D46+D47+D48+D49+D50+D51</f>
        <v>-831.9200000000055</v>
      </c>
      <c r="E52" s="84">
        <v>0.9777</v>
      </c>
      <c r="F52" s="79">
        <f>F43+F44+F45+F46+F47+F48+F49+F50+F51</f>
        <v>35668.840000000004</v>
      </c>
      <c r="G52" s="79">
        <f>G43+G44+G45+G46+G47+G48+G49+G50+G51</f>
        <v>37226.66</v>
      </c>
      <c r="H52" s="80">
        <f>H43+H44+H45+H46+H47+H48+H49+H50+H51</f>
        <v>-1557.8199999999997</v>
      </c>
      <c r="I52" s="84">
        <v>0.9581999999999999</v>
      </c>
      <c r="J52" s="79"/>
      <c r="K52" s="79">
        <f>K43+K44+K45+K46+K47+K48+K49+K50+K51</f>
        <v>37226.66</v>
      </c>
      <c r="L52" s="80">
        <f>L43+L44+L45+L46+L47+L48+L49+L50+L51</f>
        <v>-37226.66</v>
      </c>
      <c r="M52" s="84">
        <v>0</v>
      </c>
      <c r="N52" s="79"/>
      <c r="O52" s="79">
        <f>O43+O44+O45+O46+O47+O48+O49+O50+O51</f>
        <v>37226.66</v>
      </c>
      <c r="P52" s="80">
        <f>P43+P44+P45+P46+P47+P48+P49+P50+P51</f>
        <v>-37226.66</v>
      </c>
      <c r="Q52" s="84">
        <v>0</v>
      </c>
      <c r="R52" s="79"/>
      <c r="S52" s="79">
        <f>S43+S44+S45+S46+S47+S48+S49+S50+S51</f>
        <v>37226.66</v>
      </c>
      <c r="T52" s="80">
        <f>T43+T44+T45+T46+T47+T48+T49+T50+T51</f>
        <v>-37226.66</v>
      </c>
      <c r="U52" s="84">
        <v>0</v>
      </c>
      <c r="V52" s="79"/>
      <c r="W52" s="79">
        <f>W43+W44+W45+W46+W47+W48+W49+W50+W51</f>
        <v>37226.66</v>
      </c>
      <c r="X52" s="80">
        <f>X43+X44+X45+X46+X47+X48+X49+X50+X51</f>
        <v>-37226.66</v>
      </c>
      <c r="Y52" s="84">
        <v>0</v>
      </c>
      <c r="Z52" s="79"/>
      <c r="AA52" s="79">
        <f>AA43+AA44+AA45+AA46+AA47+AA48+AA49+AA50+AA51</f>
        <v>37226.66</v>
      </c>
      <c r="AB52" s="80">
        <f>AB43+AB44+AB45+AB46+AB47+AB48+AB49+AB50+AB51</f>
        <v>-37226.66</v>
      </c>
      <c r="AC52" s="84">
        <v>0</v>
      </c>
      <c r="AD52" s="79"/>
      <c r="AE52" s="79">
        <f>AE43+AE44+AE45+AE46+AE47+AE48+AE49+AE50+AE51</f>
        <v>37226.66</v>
      </c>
      <c r="AF52" s="80">
        <f>AF43+AF44+AF45+AF46+AF47+AF48+AF49+AF50+AF51</f>
        <v>-37226.66</v>
      </c>
      <c r="AG52" s="84">
        <v>0</v>
      </c>
      <c r="AH52" s="79"/>
      <c r="AI52" s="79">
        <f>AI43+AI44+AI45+AI46+AI47+AI48+AI49+AI50+AI51</f>
        <v>37226.66</v>
      </c>
      <c r="AJ52" s="80">
        <f>AJ43+AJ44+AJ45+AJ46+AJ47+AJ48+AJ49+AJ50+AJ51</f>
        <v>-37226.66</v>
      </c>
      <c r="AK52" s="84">
        <v>0</v>
      </c>
      <c r="AL52" s="79"/>
      <c r="AM52" s="79">
        <f>AM43+AM44+AM45+AM46+AM47+AM48+AM49+AM50+AM51</f>
        <v>37226.66</v>
      </c>
      <c r="AN52" s="80">
        <f>AN43+AN44+AN45+AN46+AN47+AN48+AN49+AN50+AN51</f>
        <v>-37226.66</v>
      </c>
      <c r="AO52" s="84">
        <v>0</v>
      </c>
      <c r="AP52" s="79"/>
      <c r="AQ52" s="79">
        <f>AQ43+AQ44+AQ45+AQ46+AQ47+AQ48+AQ49+AQ50+AQ51</f>
        <v>37226.66</v>
      </c>
      <c r="AR52" s="80">
        <f>AR43+AR44+AR45+AR46+AR47+AR48+AR49+AR50+AR51</f>
        <v>-37226.66</v>
      </c>
      <c r="AS52" s="84">
        <v>0</v>
      </c>
      <c r="AT52" s="79"/>
      <c r="AU52" s="79">
        <f>AU43+AU44+AU45+AU46+AU47+AU48+AU49+AU50+AU51</f>
        <v>37226.74</v>
      </c>
      <c r="AV52" s="80">
        <f>AV43+AV44+AV45+AV46+AV47+AV48+AV49+AV50+AV51</f>
        <v>-37226.74</v>
      </c>
      <c r="AW52" s="84">
        <v>0</v>
      </c>
      <c r="AX52" s="87">
        <f>B52+F52+J52+N52+R52+V52+Z52+AD52+AH52+AL52+AP52+AT52</f>
        <v>72063.58</v>
      </c>
      <c r="AY52" s="87">
        <f>C52+G52+K52+O52+S52+W52+AA52+AE52+AI52+AM52+AQ52+AU52</f>
        <v>446720.0000000001</v>
      </c>
      <c r="AZ52" s="88">
        <f>D52+H52+L52+P52+T52+X52+AB52+AF52+AJ52+AN52+AR52+AV52</f>
        <v>-374656.42000000004</v>
      </c>
      <c r="BA52" s="84">
        <v>0.1613</v>
      </c>
    </row>
    <row r="53" spans="1:53" ht="16" outlineLevel="1">
      <c r="A53" s="64" t="s">
        <v>50</v>
      </c>
      <c r="B53" s="78">
        <v>174.77</v>
      </c>
      <c r="C53" s="77"/>
      <c r="D53" s="78">
        <v>174.77</v>
      </c>
      <c r="E53" s="77" t="s">
        <v>4</v>
      </c>
      <c r="F53" s="78">
        <v>243.75</v>
      </c>
      <c r="G53" s="77"/>
      <c r="H53" s="78">
        <v>243.75</v>
      </c>
      <c r="I53" s="77" t="s">
        <v>4</v>
      </c>
      <c r="J53" s="77"/>
      <c r="K53" s="77"/>
      <c r="L53" s="77"/>
      <c r="M53" s="77" t="s">
        <v>4</v>
      </c>
      <c r="N53" s="77"/>
      <c r="O53" s="77"/>
      <c r="P53" s="77"/>
      <c r="Q53" s="77" t="s">
        <v>4</v>
      </c>
      <c r="R53" s="77"/>
      <c r="S53" s="77"/>
      <c r="T53" s="77"/>
      <c r="U53" s="77" t="s">
        <v>4</v>
      </c>
      <c r="V53" s="77"/>
      <c r="W53" s="77"/>
      <c r="X53" s="77"/>
      <c r="Y53" s="77" t="s">
        <v>4</v>
      </c>
      <c r="Z53" s="77"/>
      <c r="AA53" s="77"/>
      <c r="AB53" s="77"/>
      <c r="AC53" s="77" t="s">
        <v>4</v>
      </c>
      <c r="AD53" s="77"/>
      <c r="AE53" s="77"/>
      <c r="AF53" s="77"/>
      <c r="AG53" s="77" t="s">
        <v>4</v>
      </c>
      <c r="AH53" s="77"/>
      <c r="AI53" s="77"/>
      <c r="AJ53" s="77"/>
      <c r="AK53" s="77" t="s">
        <v>4</v>
      </c>
      <c r="AL53" s="77"/>
      <c r="AM53" s="77"/>
      <c r="AN53" s="77"/>
      <c r="AO53" s="77" t="s">
        <v>4</v>
      </c>
      <c r="AP53" s="77"/>
      <c r="AQ53" s="77"/>
      <c r="AR53" s="77"/>
      <c r="AS53" s="77" t="s">
        <v>4</v>
      </c>
      <c r="AT53" s="77"/>
      <c r="AU53" s="77"/>
      <c r="AV53" s="77"/>
      <c r="AW53" s="77" t="s">
        <v>4</v>
      </c>
      <c r="AX53" s="78">
        <f>B53+F53+J53+N53+R53+V53+Z53+AD53+AH53+AL53+AP53+AT53</f>
        <v>418.52</v>
      </c>
      <c r="AY53" s="77"/>
      <c r="AZ53" s="78">
        <f>D53+H53+L53+P53+T53+X53+AB53+AF53+AJ53+AN53+AR53+AV53</f>
        <v>418.52</v>
      </c>
      <c r="BA53" s="77" t="s">
        <v>4</v>
      </c>
    </row>
    <row r="54" spans="1:53" ht="16" outlineLevel="1">
      <c r="A54" s="64" t="s">
        <v>51</v>
      </c>
      <c r="B54" s="78">
        <v>602.24</v>
      </c>
      <c r="C54" s="78">
        <v>1033.33</v>
      </c>
      <c r="D54" s="82">
        <v>-431.0899999999999</v>
      </c>
      <c r="E54" s="83">
        <v>0.5828</v>
      </c>
      <c r="F54" s="78">
        <v>214.6</v>
      </c>
      <c r="G54" s="78">
        <v>1033.33</v>
      </c>
      <c r="H54" s="82">
        <v>-818.7299999999999</v>
      </c>
      <c r="I54" s="83">
        <v>0.2077</v>
      </c>
      <c r="J54" s="77"/>
      <c r="K54" s="78">
        <v>1033.33</v>
      </c>
      <c r="L54" s="82">
        <v>-1033.33</v>
      </c>
      <c r="M54" s="83">
        <v>0</v>
      </c>
      <c r="N54" s="77"/>
      <c r="O54" s="78">
        <v>1033.33</v>
      </c>
      <c r="P54" s="82">
        <v>-1033.33</v>
      </c>
      <c r="Q54" s="83">
        <v>0</v>
      </c>
      <c r="R54" s="77"/>
      <c r="S54" s="78">
        <v>1033.33</v>
      </c>
      <c r="T54" s="82">
        <v>-1033.33</v>
      </c>
      <c r="U54" s="83">
        <v>0</v>
      </c>
      <c r="V54" s="77"/>
      <c r="W54" s="78">
        <v>1033.33</v>
      </c>
      <c r="X54" s="82">
        <v>-1033.33</v>
      </c>
      <c r="Y54" s="83">
        <v>0</v>
      </c>
      <c r="Z54" s="77"/>
      <c r="AA54" s="78">
        <v>1033.33</v>
      </c>
      <c r="AB54" s="82">
        <v>-1033.33</v>
      </c>
      <c r="AC54" s="83">
        <v>0</v>
      </c>
      <c r="AD54" s="77"/>
      <c r="AE54" s="78">
        <v>1033.33</v>
      </c>
      <c r="AF54" s="82">
        <v>-1033.33</v>
      </c>
      <c r="AG54" s="83">
        <v>0</v>
      </c>
      <c r="AH54" s="77"/>
      <c r="AI54" s="78">
        <v>1033.33</v>
      </c>
      <c r="AJ54" s="82">
        <v>-1033.33</v>
      </c>
      <c r="AK54" s="83">
        <v>0</v>
      </c>
      <c r="AL54" s="77"/>
      <c r="AM54" s="78">
        <v>1033.33</v>
      </c>
      <c r="AN54" s="82">
        <v>-1033.33</v>
      </c>
      <c r="AO54" s="83">
        <v>0</v>
      </c>
      <c r="AP54" s="77"/>
      <c r="AQ54" s="78">
        <v>1033.33</v>
      </c>
      <c r="AR54" s="82">
        <v>-1033.33</v>
      </c>
      <c r="AS54" s="83">
        <v>0</v>
      </c>
      <c r="AT54" s="77"/>
      <c r="AU54" s="78">
        <v>1033.37</v>
      </c>
      <c r="AV54" s="82">
        <v>-1033.37</v>
      </c>
      <c r="AW54" s="83">
        <v>0</v>
      </c>
      <c r="AX54" s="78">
        <f>B54+F54+J54+N54+R54+V54+Z54+AD54+AH54+AL54+AP54+AT54</f>
        <v>816.84</v>
      </c>
      <c r="AY54" s="78">
        <f>C54+G54+K54+O54+S54+W54+AA54+AE54+AI54+AM54+AQ54+AU54</f>
        <v>12400.0</v>
      </c>
      <c r="AZ54" s="82">
        <f>D54+H54+L54+P54+T54+X54+AB54+AF54+AJ54+AN54+AR54+AV54</f>
        <v>-11583.16</v>
      </c>
      <c r="BA54" s="83">
        <v>0.0659</v>
      </c>
    </row>
    <row r="55" spans="1:53" ht="16" outlineLevel="2">
      <c r="A55" s="65" t="s">
        <v>52</v>
      </c>
      <c r="B55" s="77"/>
      <c r="C55" s="77"/>
      <c r="D55" s="77"/>
      <c r="E55" s="77" t="s">
        <v>4</v>
      </c>
      <c r="F55" s="77"/>
      <c r="G55" s="77"/>
      <c r="H55" s="77"/>
      <c r="I55" s="77" t="s">
        <v>4</v>
      </c>
      <c r="J55" s="77"/>
      <c r="K55" s="77"/>
      <c r="L55" s="77"/>
      <c r="M55" s="77" t="s">
        <v>4</v>
      </c>
      <c r="N55" s="77"/>
      <c r="O55" s="77"/>
      <c r="P55" s="77"/>
      <c r="Q55" s="77" t="s">
        <v>4</v>
      </c>
      <c r="R55" s="77"/>
      <c r="S55" s="77"/>
      <c r="T55" s="77"/>
      <c r="U55" s="77" t="s">
        <v>4</v>
      </c>
      <c r="V55" s="77"/>
      <c r="W55" s="77"/>
      <c r="X55" s="77"/>
      <c r="Y55" s="77" t="s">
        <v>4</v>
      </c>
      <c r="Z55" s="77"/>
      <c r="AA55" s="77"/>
      <c r="AB55" s="77"/>
      <c r="AC55" s="77" t="s">
        <v>4</v>
      </c>
      <c r="AD55" s="77"/>
      <c r="AE55" s="77"/>
      <c r="AF55" s="77"/>
      <c r="AG55" s="77" t="s">
        <v>4</v>
      </c>
      <c r="AH55" s="77"/>
      <c r="AI55" s="77"/>
      <c r="AJ55" s="77"/>
      <c r="AK55" s="77" t="s">
        <v>4</v>
      </c>
      <c r="AL55" s="77"/>
      <c r="AM55" s="77"/>
      <c r="AN55" s="77"/>
      <c r="AO55" s="77" t="s">
        <v>4</v>
      </c>
      <c r="AP55" s="77"/>
      <c r="AQ55" s="77"/>
      <c r="AR55" s="77"/>
      <c r="AS55" s="77" t="s">
        <v>4</v>
      </c>
      <c r="AT55" s="77"/>
      <c r="AU55" s="77"/>
      <c r="AV55" s="77"/>
      <c r="AW55" s="77" t="s">
        <v>4</v>
      </c>
      <c r="AX55" s="77"/>
      <c r="AY55" s="77"/>
      <c r="AZ55" s="77"/>
      <c r="BA55" s="77" t="s">
        <v>4</v>
      </c>
    </row>
    <row r="56" spans="1:53" ht="16" outlineLevel="3">
      <c r="A56" s="68" t="s">
        <v>53</v>
      </c>
      <c r="B56" s="77"/>
      <c r="C56" s="77"/>
      <c r="D56" s="77"/>
      <c r="E56" s="77" t="s">
        <v>4</v>
      </c>
      <c r="F56" s="78">
        <v>4400.0</v>
      </c>
      <c r="G56" s="77"/>
      <c r="H56" s="78">
        <v>4400.0</v>
      </c>
      <c r="I56" s="77" t="s">
        <v>4</v>
      </c>
      <c r="J56" s="77"/>
      <c r="K56" s="77"/>
      <c r="L56" s="77"/>
      <c r="M56" s="77" t="s">
        <v>4</v>
      </c>
      <c r="N56" s="77"/>
      <c r="O56" s="77"/>
      <c r="P56" s="77"/>
      <c r="Q56" s="77" t="s">
        <v>4</v>
      </c>
      <c r="R56" s="77"/>
      <c r="S56" s="77"/>
      <c r="T56" s="77"/>
      <c r="U56" s="77" t="s">
        <v>4</v>
      </c>
      <c r="V56" s="77"/>
      <c r="W56" s="77"/>
      <c r="X56" s="77"/>
      <c r="Y56" s="77" t="s">
        <v>4</v>
      </c>
      <c r="Z56" s="77"/>
      <c r="AA56" s="77"/>
      <c r="AB56" s="77"/>
      <c r="AC56" s="77" t="s">
        <v>4</v>
      </c>
      <c r="AD56" s="77"/>
      <c r="AE56" s="77"/>
      <c r="AF56" s="77"/>
      <c r="AG56" s="77" t="s">
        <v>4</v>
      </c>
      <c r="AH56" s="77"/>
      <c r="AI56" s="77"/>
      <c r="AJ56" s="77"/>
      <c r="AK56" s="77" t="s">
        <v>4</v>
      </c>
      <c r="AL56" s="77"/>
      <c r="AM56" s="77"/>
      <c r="AN56" s="77"/>
      <c r="AO56" s="77" t="s">
        <v>4</v>
      </c>
      <c r="AP56" s="77"/>
      <c r="AQ56" s="77"/>
      <c r="AR56" s="77"/>
      <c r="AS56" s="77" t="s">
        <v>4</v>
      </c>
      <c r="AT56" s="77"/>
      <c r="AU56" s="77"/>
      <c r="AV56" s="77"/>
      <c r="AW56" s="77" t="s">
        <v>4</v>
      </c>
      <c r="AX56" s="78">
        <f>B56+F56+J56+N56+R56+V56+Z56+AD56+AH56+AL56+AP56+AT56</f>
        <v>4400.0</v>
      </c>
      <c r="AY56" s="77"/>
      <c r="AZ56" s="78">
        <f>D56+H56+L56+P56+T56+X56+AB56+AF56+AJ56+AN56+AR56+AV56</f>
        <v>4400.0</v>
      </c>
      <c r="BA56" s="77" t="s">
        <v>4</v>
      </c>
    </row>
    <row r="57" spans="1:53" ht="16" outlineLevel="2">
      <c r="A57" s="69" t="s">
        <v>54</v>
      </c>
      <c r="B57" s="79"/>
      <c r="C57" s="79"/>
      <c r="D57" s="79"/>
      <c r="E57" s="85" t="s">
        <v>4</v>
      </c>
      <c r="F57" s="79">
        <f>F55+F56</f>
        <v>4400.0</v>
      </c>
      <c r="G57" s="79"/>
      <c r="H57" s="79">
        <f>H55+H56</f>
        <v>4400.0</v>
      </c>
      <c r="I57" s="85" t="s">
        <v>4</v>
      </c>
      <c r="J57" s="79"/>
      <c r="K57" s="79"/>
      <c r="L57" s="79"/>
      <c r="M57" s="85" t="s">
        <v>4</v>
      </c>
      <c r="N57" s="79"/>
      <c r="O57" s="79"/>
      <c r="P57" s="79"/>
      <c r="Q57" s="85" t="s">
        <v>4</v>
      </c>
      <c r="R57" s="79"/>
      <c r="S57" s="79"/>
      <c r="T57" s="79"/>
      <c r="U57" s="85" t="s">
        <v>4</v>
      </c>
      <c r="V57" s="79"/>
      <c r="W57" s="79"/>
      <c r="X57" s="79"/>
      <c r="Y57" s="85" t="s">
        <v>4</v>
      </c>
      <c r="Z57" s="79"/>
      <c r="AA57" s="79"/>
      <c r="AB57" s="79"/>
      <c r="AC57" s="85" t="s">
        <v>4</v>
      </c>
      <c r="AD57" s="79"/>
      <c r="AE57" s="79"/>
      <c r="AF57" s="79"/>
      <c r="AG57" s="85" t="s">
        <v>4</v>
      </c>
      <c r="AH57" s="79"/>
      <c r="AI57" s="79"/>
      <c r="AJ57" s="79"/>
      <c r="AK57" s="85" t="s">
        <v>4</v>
      </c>
      <c r="AL57" s="79"/>
      <c r="AM57" s="79"/>
      <c r="AN57" s="79"/>
      <c r="AO57" s="85" t="s">
        <v>4</v>
      </c>
      <c r="AP57" s="79"/>
      <c r="AQ57" s="79"/>
      <c r="AR57" s="79"/>
      <c r="AS57" s="85" t="s">
        <v>4</v>
      </c>
      <c r="AT57" s="79"/>
      <c r="AU57" s="79"/>
      <c r="AV57" s="79"/>
      <c r="AW57" s="85" t="s">
        <v>4</v>
      </c>
      <c r="AX57" s="87">
        <f>B57+F57+J57+N57+R57+V57+Z57+AD57+AH57+AL57+AP57+AT57</f>
        <v>4400.0</v>
      </c>
      <c r="AY57" s="79"/>
      <c r="AZ57" s="87">
        <f>D57+H57+L57+P57+T57+X57+AB57+AF57+AJ57+AN57+AR57+AV57</f>
        <v>4400.0</v>
      </c>
      <c r="BA57" s="85" t="s">
        <v>4</v>
      </c>
    </row>
    <row r="58" spans="1:53" ht="16" outlineLevel="1">
      <c r="A58" s="66" t="s">
        <v>55</v>
      </c>
      <c r="B58" s="79">
        <f>B54+B57</f>
        <v>602.24</v>
      </c>
      <c r="C58" s="79">
        <f>C54+C57</f>
        <v>1033.33</v>
      </c>
      <c r="D58" s="80">
        <f>D54+D57</f>
        <v>-431.0899999999999</v>
      </c>
      <c r="E58" s="84">
        <v>0.5828</v>
      </c>
      <c r="F58" s="79">
        <f>F54+F57</f>
        <v>4614.6</v>
      </c>
      <c r="G58" s="79">
        <f>G54+G57</f>
        <v>1033.33</v>
      </c>
      <c r="H58" s="79">
        <f>H54+H57</f>
        <v>3581.27</v>
      </c>
      <c r="I58" s="84">
        <v>4.4658</v>
      </c>
      <c r="J58" s="79"/>
      <c r="K58" s="79">
        <f>K54+K57</f>
        <v>1033.33</v>
      </c>
      <c r="L58" s="80">
        <f>L54+L57</f>
        <v>-1033.33</v>
      </c>
      <c r="M58" s="84">
        <v>0</v>
      </c>
      <c r="N58" s="79"/>
      <c r="O58" s="79">
        <f>O54+O57</f>
        <v>1033.33</v>
      </c>
      <c r="P58" s="80">
        <f>P54+P57</f>
        <v>-1033.33</v>
      </c>
      <c r="Q58" s="84">
        <v>0</v>
      </c>
      <c r="R58" s="79"/>
      <c r="S58" s="79">
        <f>S54+S57</f>
        <v>1033.33</v>
      </c>
      <c r="T58" s="80">
        <f>T54+T57</f>
        <v>-1033.33</v>
      </c>
      <c r="U58" s="84">
        <v>0</v>
      </c>
      <c r="V58" s="79"/>
      <c r="W58" s="79">
        <f>W54+W57</f>
        <v>1033.33</v>
      </c>
      <c r="X58" s="80">
        <f>X54+X57</f>
        <v>-1033.33</v>
      </c>
      <c r="Y58" s="84">
        <v>0</v>
      </c>
      <c r="Z58" s="79"/>
      <c r="AA58" s="79">
        <f>AA54+AA57</f>
        <v>1033.33</v>
      </c>
      <c r="AB58" s="80">
        <f>AB54+AB57</f>
        <v>-1033.33</v>
      </c>
      <c r="AC58" s="84">
        <v>0</v>
      </c>
      <c r="AD58" s="79"/>
      <c r="AE58" s="79">
        <f>AE54+AE57</f>
        <v>1033.33</v>
      </c>
      <c r="AF58" s="80">
        <f>AF54+AF57</f>
        <v>-1033.33</v>
      </c>
      <c r="AG58" s="84">
        <v>0</v>
      </c>
      <c r="AH58" s="79"/>
      <c r="AI58" s="79">
        <f>AI54+AI57</f>
        <v>1033.33</v>
      </c>
      <c r="AJ58" s="80">
        <f>AJ54+AJ57</f>
        <v>-1033.33</v>
      </c>
      <c r="AK58" s="84">
        <v>0</v>
      </c>
      <c r="AL58" s="79"/>
      <c r="AM58" s="79">
        <f>AM54+AM57</f>
        <v>1033.33</v>
      </c>
      <c r="AN58" s="80">
        <f>AN54+AN57</f>
        <v>-1033.33</v>
      </c>
      <c r="AO58" s="84">
        <v>0</v>
      </c>
      <c r="AP58" s="79"/>
      <c r="AQ58" s="79">
        <f>AQ54+AQ57</f>
        <v>1033.33</v>
      </c>
      <c r="AR58" s="80">
        <f>AR54+AR57</f>
        <v>-1033.33</v>
      </c>
      <c r="AS58" s="84">
        <v>0</v>
      </c>
      <c r="AT58" s="79"/>
      <c r="AU58" s="79">
        <f>AU54+AU57</f>
        <v>1033.37</v>
      </c>
      <c r="AV58" s="80">
        <f>AV54+AV57</f>
        <v>-1033.37</v>
      </c>
      <c r="AW58" s="84">
        <v>0</v>
      </c>
      <c r="AX58" s="87">
        <f>B58+F58+J58+N58+R58+V58+Z58+AD58+AH58+AL58+AP58+AT58</f>
        <v>5216.84</v>
      </c>
      <c r="AY58" s="87">
        <f>C58+G58+K58+O58+S58+W58+AA58+AE58+AI58+AM58+AQ58+AU58</f>
        <v>12400.0</v>
      </c>
      <c r="AZ58" s="88">
        <f>D58+H58+L58+P58+T58+X58+AB58+AF58+AJ58+AN58+AR58+AV58</f>
        <v>-7183.159999999999</v>
      </c>
      <c r="BA58" s="84">
        <v>0.4207</v>
      </c>
    </row>
    <row r="59" spans="1:53" ht="16" outlineLevel="1">
      <c r="A59" s="64" t="s">
        <v>56</v>
      </c>
      <c r="B59" s="77"/>
      <c r="C59" s="77"/>
      <c r="D59" s="77"/>
      <c r="E59" s="77" t="s">
        <v>4</v>
      </c>
      <c r="F59" s="77"/>
      <c r="G59" s="77"/>
      <c r="H59" s="77"/>
      <c r="I59" s="77" t="s">
        <v>4</v>
      </c>
      <c r="J59" s="77"/>
      <c r="K59" s="77"/>
      <c r="L59" s="77"/>
      <c r="M59" s="77" t="s">
        <v>4</v>
      </c>
      <c r="N59" s="77"/>
      <c r="O59" s="77"/>
      <c r="P59" s="77"/>
      <c r="Q59" s="77" t="s">
        <v>4</v>
      </c>
      <c r="R59" s="77"/>
      <c r="S59" s="77"/>
      <c r="T59" s="77"/>
      <c r="U59" s="77" t="s">
        <v>4</v>
      </c>
      <c r="V59" s="77"/>
      <c r="W59" s="77"/>
      <c r="X59" s="77"/>
      <c r="Y59" s="77" t="s">
        <v>4</v>
      </c>
      <c r="Z59" s="77"/>
      <c r="AA59" s="77"/>
      <c r="AB59" s="77"/>
      <c r="AC59" s="77" t="s">
        <v>4</v>
      </c>
      <c r="AD59" s="77"/>
      <c r="AE59" s="77"/>
      <c r="AF59" s="77"/>
      <c r="AG59" s="77" t="s">
        <v>4</v>
      </c>
      <c r="AH59" s="77"/>
      <c r="AI59" s="77"/>
      <c r="AJ59" s="77"/>
      <c r="AK59" s="77" t="s">
        <v>4</v>
      </c>
      <c r="AL59" s="77"/>
      <c r="AM59" s="77"/>
      <c r="AN59" s="77"/>
      <c r="AO59" s="77" t="s">
        <v>4</v>
      </c>
      <c r="AP59" s="77"/>
      <c r="AQ59" s="77"/>
      <c r="AR59" s="77"/>
      <c r="AS59" s="77" t="s">
        <v>4</v>
      </c>
      <c r="AT59" s="77"/>
      <c r="AU59" s="77"/>
      <c r="AV59" s="77"/>
      <c r="AW59" s="77" t="s">
        <v>4</v>
      </c>
      <c r="AX59" s="77"/>
      <c r="AY59" s="77"/>
      <c r="AZ59" s="77"/>
      <c r="BA59" s="77" t="s">
        <v>4</v>
      </c>
    </row>
    <row r="60" spans="1:53" ht="16" outlineLevel="2">
      <c r="A60" s="65" t="s">
        <v>57</v>
      </c>
      <c r="B60" s="78">
        <v>1760.62</v>
      </c>
      <c r="C60" s="78">
        <v>4583.33</v>
      </c>
      <c r="D60" s="82">
        <v>-2822.71</v>
      </c>
      <c r="E60" s="83">
        <v>0.38409999999999994</v>
      </c>
      <c r="F60" s="78">
        <v>1719.85</v>
      </c>
      <c r="G60" s="78">
        <v>4583.33</v>
      </c>
      <c r="H60" s="82">
        <v>-2863.48</v>
      </c>
      <c r="I60" s="83">
        <v>0.37520000000000003</v>
      </c>
      <c r="J60" s="77"/>
      <c r="K60" s="78">
        <v>4583.33</v>
      </c>
      <c r="L60" s="82">
        <v>-4583.33</v>
      </c>
      <c r="M60" s="83">
        <v>0</v>
      </c>
      <c r="N60" s="77"/>
      <c r="O60" s="78">
        <v>4583.33</v>
      </c>
      <c r="P60" s="82">
        <v>-4583.33</v>
      </c>
      <c r="Q60" s="83">
        <v>0</v>
      </c>
      <c r="R60" s="77"/>
      <c r="S60" s="78">
        <v>4583.33</v>
      </c>
      <c r="T60" s="82">
        <v>-4583.33</v>
      </c>
      <c r="U60" s="83">
        <v>0</v>
      </c>
      <c r="V60" s="77"/>
      <c r="W60" s="78">
        <v>4583.33</v>
      </c>
      <c r="X60" s="82">
        <v>-4583.33</v>
      </c>
      <c r="Y60" s="83">
        <v>0</v>
      </c>
      <c r="Z60" s="77"/>
      <c r="AA60" s="78">
        <v>4583.33</v>
      </c>
      <c r="AB60" s="82">
        <v>-4583.33</v>
      </c>
      <c r="AC60" s="83">
        <v>0</v>
      </c>
      <c r="AD60" s="77"/>
      <c r="AE60" s="78">
        <v>4583.33</v>
      </c>
      <c r="AF60" s="82">
        <v>-4583.33</v>
      </c>
      <c r="AG60" s="83">
        <v>0</v>
      </c>
      <c r="AH60" s="77"/>
      <c r="AI60" s="78">
        <v>4583.33</v>
      </c>
      <c r="AJ60" s="82">
        <v>-4583.33</v>
      </c>
      <c r="AK60" s="83">
        <v>0</v>
      </c>
      <c r="AL60" s="77"/>
      <c r="AM60" s="78">
        <v>4583.33</v>
      </c>
      <c r="AN60" s="82">
        <v>-4583.33</v>
      </c>
      <c r="AO60" s="83">
        <v>0</v>
      </c>
      <c r="AP60" s="77"/>
      <c r="AQ60" s="78">
        <v>4583.33</v>
      </c>
      <c r="AR60" s="82">
        <v>-4583.33</v>
      </c>
      <c r="AS60" s="83">
        <v>0</v>
      </c>
      <c r="AT60" s="77"/>
      <c r="AU60" s="78">
        <v>4583.37</v>
      </c>
      <c r="AV60" s="82">
        <v>-4583.37</v>
      </c>
      <c r="AW60" s="83">
        <v>0</v>
      </c>
      <c r="AX60" s="78">
        <f>B60+F60+J60+N60+R60+V60+Z60+AD60+AH60+AL60+AP60+AT60</f>
        <v>3480.47</v>
      </c>
      <c r="AY60" s="78">
        <f>C60+G60+K60+O60+S60+W60+AA60+AE60+AI60+AM60+AQ60+AU60</f>
        <v>55000.000000000015</v>
      </c>
      <c r="AZ60" s="82">
        <f>D60+H60+L60+P60+T60+X60+AB60+AF60+AJ60+AN60+AR60+AV60</f>
        <v>-51519.53000000001</v>
      </c>
      <c r="BA60" s="83">
        <v>0.0633</v>
      </c>
    </row>
    <row r="61" spans="1:53" ht="16" outlineLevel="2">
      <c r="A61" s="65" t="s">
        <v>58</v>
      </c>
      <c r="B61" s="77"/>
      <c r="C61" s="77"/>
      <c r="D61" s="77"/>
      <c r="E61" s="77" t="s">
        <v>4</v>
      </c>
      <c r="F61" s="78">
        <v>25.77</v>
      </c>
      <c r="G61" s="77"/>
      <c r="H61" s="78">
        <v>25.77</v>
      </c>
      <c r="I61" s="77" t="s">
        <v>4</v>
      </c>
      <c r="J61" s="77"/>
      <c r="K61" s="77"/>
      <c r="L61" s="77"/>
      <c r="M61" s="77" t="s">
        <v>4</v>
      </c>
      <c r="N61" s="77"/>
      <c r="O61" s="77"/>
      <c r="P61" s="77"/>
      <c r="Q61" s="77" t="s">
        <v>4</v>
      </c>
      <c r="R61" s="77"/>
      <c r="S61" s="77"/>
      <c r="T61" s="77"/>
      <c r="U61" s="77" t="s">
        <v>4</v>
      </c>
      <c r="V61" s="77"/>
      <c r="W61" s="77"/>
      <c r="X61" s="77"/>
      <c r="Y61" s="77" t="s">
        <v>4</v>
      </c>
      <c r="Z61" s="77"/>
      <c r="AA61" s="77"/>
      <c r="AB61" s="77"/>
      <c r="AC61" s="77" t="s">
        <v>4</v>
      </c>
      <c r="AD61" s="77"/>
      <c r="AE61" s="77"/>
      <c r="AF61" s="77"/>
      <c r="AG61" s="77" t="s">
        <v>4</v>
      </c>
      <c r="AH61" s="77"/>
      <c r="AI61" s="77"/>
      <c r="AJ61" s="77"/>
      <c r="AK61" s="77" t="s">
        <v>4</v>
      </c>
      <c r="AL61" s="77"/>
      <c r="AM61" s="77"/>
      <c r="AN61" s="77"/>
      <c r="AO61" s="77" t="s">
        <v>4</v>
      </c>
      <c r="AP61" s="77"/>
      <c r="AQ61" s="77"/>
      <c r="AR61" s="77"/>
      <c r="AS61" s="77" t="s">
        <v>4</v>
      </c>
      <c r="AT61" s="77"/>
      <c r="AU61" s="77"/>
      <c r="AV61" s="77"/>
      <c r="AW61" s="77" t="s">
        <v>4</v>
      </c>
      <c r="AX61" s="78">
        <f>B61+F61+J61+N61+R61+V61+Z61+AD61+AH61+AL61+AP61+AT61</f>
        <v>25.77</v>
      </c>
      <c r="AY61" s="77"/>
      <c r="AZ61" s="78">
        <f>D61+H61+L61+P61+T61+X61+AB61+AF61+AJ61+AN61+AR61+AV61</f>
        <v>25.77</v>
      </c>
      <c r="BA61" s="77" t="s">
        <v>4</v>
      </c>
    </row>
    <row r="62" spans="1:53" ht="16" outlineLevel="2">
      <c r="A62" s="65" t="s">
        <v>59</v>
      </c>
      <c r="B62" s="77"/>
      <c r="C62" s="77"/>
      <c r="D62" s="77"/>
      <c r="E62" s="77" t="s">
        <v>4</v>
      </c>
      <c r="F62" s="78">
        <v>167.27</v>
      </c>
      <c r="G62" s="77"/>
      <c r="H62" s="78">
        <v>167.27</v>
      </c>
      <c r="I62" s="77" t="s">
        <v>4</v>
      </c>
      <c r="J62" s="77"/>
      <c r="K62" s="77"/>
      <c r="L62" s="77"/>
      <c r="M62" s="77" t="s">
        <v>4</v>
      </c>
      <c r="N62" s="77"/>
      <c r="O62" s="77"/>
      <c r="P62" s="77"/>
      <c r="Q62" s="77" t="s">
        <v>4</v>
      </c>
      <c r="R62" s="77"/>
      <c r="S62" s="77"/>
      <c r="T62" s="77"/>
      <c r="U62" s="77" t="s">
        <v>4</v>
      </c>
      <c r="V62" s="77"/>
      <c r="W62" s="77"/>
      <c r="X62" s="77"/>
      <c r="Y62" s="77" t="s">
        <v>4</v>
      </c>
      <c r="Z62" s="77"/>
      <c r="AA62" s="77"/>
      <c r="AB62" s="77"/>
      <c r="AC62" s="77" t="s">
        <v>4</v>
      </c>
      <c r="AD62" s="77"/>
      <c r="AE62" s="77"/>
      <c r="AF62" s="77"/>
      <c r="AG62" s="77" t="s">
        <v>4</v>
      </c>
      <c r="AH62" s="77"/>
      <c r="AI62" s="77"/>
      <c r="AJ62" s="77"/>
      <c r="AK62" s="77" t="s">
        <v>4</v>
      </c>
      <c r="AL62" s="77"/>
      <c r="AM62" s="77"/>
      <c r="AN62" s="77"/>
      <c r="AO62" s="77" t="s">
        <v>4</v>
      </c>
      <c r="AP62" s="77"/>
      <c r="AQ62" s="77"/>
      <c r="AR62" s="77"/>
      <c r="AS62" s="77" t="s">
        <v>4</v>
      </c>
      <c r="AT62" s="77"/>
      <c r="AU62" s="77"/>
      <c r="AV62" s="77"/>
      <c r="AW62" s="77" t="s">
        <v>4</v>
      </c>
      <c r="AX62" s="78">
        <f>B62+F62+J62+N62+R62+V62+Z62+AD62+AH62+AL62+AP62+AT62</f>
        <v>167.27</v>
      </c>
      <c r="AY62" s="77"/>
      <c r="AZ62" s="78">
        <f>D62+H62+L62+P62+T62+X62+AB62+AF62+AJ62+AN62+AR62+AV62</f>
        <v>167.27</v>
      </c>
      <c r="BA62" s="77" t="s">
        <v>4</v>
      </c>
    </row>
    <row r="63" spans="1:53" ht="16" outlineLevel="3">
      <c r="A63" s="68" t="s">
        <v>60</v>
      </c>
      <c r="B63" s="77"/>
      <c r="C63" s="77"/>
      <c r="D63" s="77"/>
      <c r="E63" s="77" t="s">
        <v>4</v>
      </c>
      <c r="F63" s="78">
        <v>8.37</v>
      </c>
      <c r="G63" s="77"/>
      <c r="H63" s="78">
        <v>8.37</v>
      </c>
      <c r="I63" s="77" t="s">
        <v>4</v>
      </c>
      <c r="J63" s="77"/>
      <c r="K63" s="77"/>
      <c r="L63" s="77"/>
      <c r="M63" s="77" t="s">
        <v>4</v>
      </c>
      <c r="N63" s="77"/>
      <c r="O63" s="77"/>
      <c r="P63" s="77"/>
      <c r="Q63" s="77" t="s">
        <v>4</v>
      </c>
      <c r="R63" s="77"/>
      <c r="S63" s="77"/>
      <c r="T63" s="77"/>
      <c r="U63" s="77" t="s">
        <v>4</v>
      </c>
      <c r="V63" s="77"/>
      <c r="W63" s="77"/>
      <c r="X63" s="77"/>
      <c r="Y63" s="77" t="s">
        <v>4</v>
      </c>
      <c r="Z63" s="77"/>
      <c r="AA63" s="77"/>
      <c r="AB63" s="77"/>
      <c r="AC63" s="77" t="s">
        <v>4</v>
      </c>
      <c r="AD63" s="77"/>
      <c r="AE63" s="77"/>
      <c r="AF63" s="77"/>
      <c r="AG63" s="77" t="s">
        <v>4</v>
      </c>
      <c r="AH63" s="77"/>
      <c r="AI63" s="77"/>
      <c r="AJ63" s="77"/>
      <c r="AK63" s="77" t="s">
        <v>4</v>
      </c>
      <c r="AL63" s="77"/>
      <c r="AM63" s="77"/>
      <c r="AN63" s="77"/>
      <c r="AO63" s="77" t="s">
        <v>4</v>
      </c>
      <c r="AP63" s="77"/>
      <c r="AQ63" s="77"/>
      <c r="AR63" s="77"/>
      <c r="AS63" s="77" t="s">
        <v>4</v>
      </c>
      <c r="AT63" s="77"/>
      <c r="AU63" s="77"/>
      <c r="AV63" s="77"/>
      <c r="AW63" s="77" t="s">
        <v>4</v>
      </c>
      <c r="AX63" s="78">
        <f>B63+F63+J63+N63+R63+V63+Z63+AD63+AH63+AL63+AP63+AT63</f>
        <v>8.37</v>
      </c>
      <c r="AY63" s="77"/>
      <c r="AZ63" s="78">
        <f>D63+H63+L63+P63+T63+X63+AB63+AF63+AJ63+AN63+AR63+AV63</f>
        <v>8.37</v>
      </c>
      <c r="BA63" s="77" t="s">
        <v>4</v>
      </c>
    </row>
    <row r="64" spans="1:53" ht="16" outlineLevel="2">
      <c r="A64" s="69" t="s">
        <v>61</v>
      </c>
      <c r="B64" s="79"/>
      <c r="C64" s="79"/>
      <c r="D64" s="79"/>
      <c r="E64" s="85" t="s">
        <v>4</v>
      </c>
      <c r="F64" s="79">
        <f>F62+F63</f>
        <v>175.64000000000001</v>
      </c>
      <c r="G64" s="79"/>
      <c r="H64" s="79">
        <f>H62+H63</f>
        <v>175.64000000000001</v>
      </c>
      <c r="I64" s="85" t="s">
        <v>4</v>
      </c>
      <c r="J64" s="79"/>
      <c r="K64" s="79"/>
      <c r="L64" s="79"/>
      <c r="M64" s="85" t="s">
        <v>4</v>
      </c>
      <c r="N64" s="79"/>
      <c r="O64" s="79"/>
      <c r="P64" s="79"/>
      <c r="Q64" s="85" t="s">
        <v>4</v>
      </c>
      <c r="R64" s="79"/>
      <c r="S64" s="79"/>
      <c r="T64" s="79"/>
      <c r="U64" s="85" t="s">
        <v>4</v>
      </c>
      <c r="V64" s="79"/>
      <c r="W64" s="79"/>
      <c r="X64" s="79"/>
      <c r="Y64" s="85" t="s">
        <v>4</v>
      </c>
      <c r="Z64" s="79"/>
      <c r="AA64" s="79"/>
      <c r="AB64" s="79"/>
      <c r="AC64" s="85" t="s">
        <v>4</v>
      </c>
      <c r="AD64" s="79"/>
      <c r="AE64" s="79"/>
      <c r="AF64" s="79"/>
      <c r="AG64" s="85" t="s">
        <v>4</v>
      </c>
      <c r="AH64" s="79"/>
      <c r="AI64" s="79"/>
      <c r="AJ64" s="79"/>
      <c r="AK64" s="85" t="s">
        <v>4</v>
      </c>
      <c r="AL64" s="79"/>
      <c r="AM64" s="79"/>
      <c r="AN64" s="79"/>
      <c r="AO64" s="85" t="s">
        <v>4</v>
      </c>
      <c r="AP64" s="79"/>
      <c r="AQ64" s="79"/>
      <c r="AR64" s="79"/>
      <c r="AS64" s="85" t="s">
        <v>4</v>
      </c>
      <c r="AT64" s="79"/>
      <c r="AU64" s="79"/>
      <c r="AV64" s="79"/>
      <c r="AW64" s="85" t="s">
        <v>4</v>
      </c>
      <c r="AX64" s="87">
        <f>B64+F64+J64+N64+R64+V64+Z64+AD64+AH64+AL64+AP64+AT64</f>
        <v>175.64000000000001</v>
      </c>
      <c r="AY64" s="79"/>
      <c r="AZ64" s="87">
        <f>D64+H64+L64+P64+T64+X64+AB64+AF64+AJ64+AN64+AR64+AV64</f>
        <v>175.64000000000001</v>
      </c>
      <c r="BA64" s="85" t="s">
        <v>4</v>
      </c>
    </row>
    <row r="65" spans="1:53" ht="16" outlineLevel="2">
      <c r="A65" s="65" t="s">
        <v>62</v>
      </c>
      <c r="B65" s="78">
        <v>295.49</v>
      </c>
      <c r="C65" s="78">
        <v>291.67</v>
      </c>
      <c r="D65" s="78">
        <v>3.819999999999993</v>
      </c>
      <c r="E65" s="83">
        <v>1.0131000000000001</v>
      </c>
      <c r="F65" s="77"/>
      <c r="G65" s="78">
        <v>291.67</v>
      </c>
      <c r="H65" s="82">
        <v>-291.67</v>
      </c>
      <c r="I65" s="83">
        <v>0</v>
      </c>
      <c r="J65" s="77"/>
      <c r="K65" s="78">
        <v>291.67</v>
      </c>
      <c r="L65" s="82">
        <v>-291.67</v>
      </c>
      <c r="M65" s="83">
        <v>0</v>
      </c>
      <c r="N65" s="77"/>
      <c r="O65" s="78">
        <v>291.67</v>
      </c>
      <c r="P65" s="82">
        <v>-291.67</v>
      </c>
      <c r="Q65" s="83">
        <v>0</v>
      </c>
      <c r="R65" s="77"/>
      <c r="S65" s="78">
        <v>291.67</v>
      </c>
      <c r="T65" s="82">
        <v>-291.67</v>
      </c>
      <c r="U65" s="83">
        <v>0</v>
      </c>
      <c r="V65" s="77"/>
      <c r="W65" s="78">
        <v>291.67</v>
      </c>
      <c r="X65" s="82">
        <v>-291.67</v>
      </c>
      <c r="Y65" s="83">
        <v>0</v>
      </c>
      <c r="Z65" s="77"/>
      <c r="AA65" s="78">
        <v>291.67</v>
      </c>
      <c r="AB65" s="82">
        <v>-291.67</v>
      </c>
      <c r="AC65" s="83">
        <v>0</v>
      </c>
      <c r="AD65" s="77"/>
      <c r="AE65" s="78">
        <v>291.67</v>
      </c>
      <c r="AF65" s="82">
        <v>-291.67</v>
      </c>
      <c r="AG65" s="83">
        <v>0</v>
      </c>
      <c r="AH65" s="77"/>
      <c r="AI65" s="78">
        <v>291.67</v>
      </c>
      <c r="AJ65" s="82">
        <v>-291.67</v>
      </c>
      <c r="AK65" s="83">
        <v>0</v>
      </c>
      <c r="AL65" s="77"/>
      <c r="AM65" s="78">
        <v>291.67</v>
      </c>
      <c r="AN65" s="82">
        <v>-291.67</v>
      </c>
      <c r="AO65" s="83">
        <v>0</v>
      </c>
      <c r="AP65" s="77"/>
      <c r="AQ65" s="78">
        <v>291.67</v>
      </c>
      <c r="AR65" s="82">
        <v>-291.67</v>
      </c>
      <c r="AS65" s="83">
        <v>0</v>
      </c>
      <c r="AT65" s="77"/>
      <c r="AU65" s="78">
        <v>291.63</v>
      </c>
      <c r="AV65" s="82">
        <v>-291.63</v>
      </c>
      <c r="AW65" s="83">
        <v>0</v>
      </c>
      <c r="AX65" s="78">
        <f>B65+F65+J65+N65+R65+V65+Z65+AD65+AH65+AL65+AP65+AT65</f>
        <v>295.49</v>
      </c>
      <c r="AY65" s="78">
        <f>C65+G65+K65+O65+S65+W65+AA65+AE65+AI65+AM65+AQ65+AU65</f>
        <v>3500.0000000000005</v>
      </c>
      <c r="AZ65" s="82">
        <f>D65+H65+L65+P65+T65+X65+AB65+AF65+AJ65+AN65+AR65+AV65</f>
        <v>-3204.5100000000007</v>
      </c>
      <c r="BA65" s="83">
        <v>0.08439999999999999</v>
      </c>
    </row>
    <row r="66" spans="1:53" ht="16" outlineLevel="2">
      <c r="A66" s="65" t="s">
        <v>63</v>
      </c>
      <c r="B66" s="77"/>
      <c r="C66" s="78">
        <v>62.5</v>
      </c>
      <c r="D66" s="82">
        <v>-62.5</v>
      </c>
      <c r="E66" s="83">
        <v>0</v>
      </c>
      <c r="F66" s="77"/>
      <c r="G66" s="78">
        <v>62.5</v>
      </c>
      <c r="H66" s="82">
        <v>-62.5</v>
      </c>
      <c r="I66" s="83">
        <v>0</v>
      </c>
      <c r="J66" s="77"/>
      <c r="K66" s="78">
        <v>62.5</v>
      </c>
      <c r="L66" s="82">
        <v>-62.5</v>
      </c>
      <c r="M66" s="83">
        <v>0</v>
      </c>
      <c r="N66" s="77"/>
      <c r="O66" s="78">
        <v>62.5</v>
      </c>
      <c r="P66" s="82">
        <v>-62.5</v>
      </c>
      <c r="Q66" s="83">
        <v>0</v>
      </c>
      <c r="R66" s="77"/>
      <c r="S66" s="78">
        <v>62.5</v>
      </c>
      <c r="T66" s="82">
        <v>-62.5</v>
      </c>
      <c r="U66" s="83">
        <v>0</v>
      </c>
      <c r="V66" s="77"/>
      <c r="W66" s="78">
        <v>62.5</v>
      </c>
      <c r="X66" s="82">
        <v>-62.5</v>
      </c>
      <c r="Y66" s="83">
        <v>0</v>
      </c>
      <c r="Z66" s="77"/>
      <c r="AA66" s="78">
        <v>62.5</v>
      </c>
      <c r="AB66" s="82">
        <v>-62.5</v>
      </c>
      <c r="AC66" s="83">
        <v>0</v>
      </c>
      <c r="AD66" s="77"/>
      <c r="AE66" s="78">
        <v>62.5</v>
      </c>
      <c r="AF66" s="82">
        <v>-62.5</v>
      </c>
      <c r="AG66" s="83">
        <v>0</v>
      </c>
      <c r="AH66" s="77"/>
      <c r="AI66" s="78">
        <v>62.5</v>
      </c>
      <c r="AJ66" s="82">
        <v>-62.5</v>
      </c>
      <c r="AK66" s="83">
        <v>0</v>
      </c>
      <c r="AL66" s="77"/>
      <c r="AM66" s="78">
        <v>62.5</v>
      </c>
      <c r="AN66" s="82">
        <v>-62.5</v>
      </c>
      <c r="AO66" s="83">
        <v>0</v>
      </c>
      <c r="AP66" s="77"/>
      <c r="AQ66" s="78">
        <v>62.5</v>
      </c>
      <c r="AR66" s="82">
        <v>-62.5</v>
      </c>
      <c r="AS66" s="83">
        <v>0</v>
      </c>
      <c r="AT66" s="77"/>
      <c r="AU66" s="78">
        <v>62.5</v>
      </c>
      <c r="AV66" s="82">
        <v>-62.5</v>
      </c>
      <c r="AW66" s="83">
        <v>0</v>
      </c>
      <c r="AX66" s="77"/>
      <c r="AY66" s="78">
        <f>C66+G66+K66+O66+S66+W66+AA66+AE66+AI66+AM66+AQ66+AU66</f>
        <v>750.0</v>
      </c>
      <c r="AZ66" s="82">
        <f>D66+H66+L66+P66+T66+X66+AB66+AF66+AJ66+AN66+AR66+AV66</f>
        <v>-750.0</v>
      </c>
      <c r="BA66" s="89">
        <f>IFERROR(E66+I66+M66+Q66+U66+Y66+AC66+AG66+AK66+AO66+AS66+AW66,"")</f>
        <v>0.0</v>
      </c>
    </row>
    <row r="67" spans="1:53" ht="16" outlineLevel="2">
      <c r="A67" s="65" t="s">
        <v>64</v>
      </c>
      <c r="B67" s="77"/>
      <c r="C67" s="78">
        <v>125.0</v>
      </c>
      <c r="D67" s="82">
        <v>-125.0</v>
      </c>
      <c r="E67" s="83">
        <v>0</v>
      </c>
      <c r="F67" s="77"/>
      <c r="G67" s="78">
        <v>125.0</v>
      </c>
      <c r="H67" s="82">
        <v>-125.0</v>
      </c>
      <c r="I67" s="83">
        <v>0</v>
      </c>
      <c r="J67" s="77"/>
      <c r="K67" s="78">
        <v>125.0</v>
      </c>
      <c r="L67" s="82">
        <v>-125.0</v>
      </c>
      <c r="M67" s="83">
        <v>0</v>
      </c>
      <c r="N67" s="77"/>
      <c r="O67" s="78">
        <v>125.0</v>
      </c>
      <c r="P67" s="82">
        <v>-125.0</v>
      </c>
      <c r="Q67" s="83">
        <v>0</v>
      </c>
      <c r="R67" s="77"/>
      <c r="S67" s="78">
        <v>125.0</v>
      </c>
      <c r="T67" s="82">
        <v>-125.0</v>
      </c>
      <c r="U67" s="83">
        <v>0</v>
      </c>
      <c r="V67" s="77"/>
      <c r="W67" s="78">
        <v>125.0</v>
      </c>
      <c r="X67" s="82">
        <v>-125.0</v>
      </c>
      <c r="Y67" s="83">
        <v>0</v>
      </c>
      <c r="Z67" s="77"/>
      <c r="AA67" s="78">
        <v>125.0</v>
      </c>
      <c r="AB67" s="82">
        <v>-125.0</v>
      </c>
      <c r="AC67" s="83">
        <v>0</v>
      </c>
      <c r="AD67" s="77"/>
      <c r="AE67" s="78">
        <v>125.0</v>
      </c>
      <c r="AF67" s="82">
        <v>-125.0</v>
      </c>
      <c r="AG67" s="83">
        <v>0</v>
      </c>
      <c r="AH67" s="77"/>
      <c r="AI67" s="78">
        <v>125.0</v>
      </c>
      <c r="AJ67" s="82">
        <v>-125.0</v>
      </c>
      <c r="AK67" s="83">
        <v>0</v>
      </c>
      <c r="AL67" s="77"/>
      <c r="AM67" s="78">
        <v>125.0</v>
      </c>
      <c r="AN67" s="82">
        <v>-125.0</v>
      </c>
      <c r="AO67" s="83">
        <v>0</v>
      </c>
      <c r="AP67" s="77"/>
      <c r="AQ67" s="78">
        <v>125.0</v>
      </c>
      <c r="AR67" s="82">
        <v>-125.0</v>
      </c>
      <c r="AS67" s="83">
        <v>0</v>
      </c>
      <c r="AT67" s="77"/>
      <c r="AU67" s="78">
        <v>125.0</v>
      </c>
      <c r="AV67" s="82">
        <v>-125.0</v>
      </c>
      <c r="AW67" s="83">
        <v>0</v>
      </c>
      <c r="AX67" s="77"/>
      <c r="AY67" s="78">
        <f>C67+G67+K67+O67+S67+W67+AA67+AE67+AI67+AM67+AQ67+AU67</f>
        <v>1500.0</v>
      </c>
      <c r="AZ67" s="82">
        <f>D67+H67+L67+P67+T67+X67+AB67+AF67+AJ67+AN67+AR67+AV67</f>
        <v>-1500.0</v>
      </c>
      <c r="BA67" s="89">
        <f>IFERROR(E67+I67+M67+Q67+U67+Y67+AC67+AG67+AK67+AO67+AS67+AW67,"")</f>
        <v>0.0</v>
      </c>
    </row>
    <row r="68" spans="1:53" ht="16" outlineLevel="1">
      <c r="A68" s="66" t="s">
        <v>65</v>
      </c>
      <c r="B68" s="79">
        <f>B59+B60+B61+B64+B65+B66+B67</f>
        <v>2056.1099999999997</v>
      </c>
      <c r="C68" s="79">
        <f>C59+C60+C61+C64+C65+C66+C67</f>
        <v>5062.5</v>
      </c>
      <c r="D68" s="80">
        <f>D59+D60+D61+D64+D65+D66+D67</f>
        <v>-3006.39</v>
      </c>
      <c r="E68" s="84">
        <v>0.4061</v>
      </c>
      <c r="F68" s="79">
        <f>F59+F60+F61+F64+F65+F66+F67</f>
        <v>1921.26</v>
      </c>
      <c r="G68" s="79">
        <f>G59+G60+G61+G64+G65+G66+G67</f>
        <v>5062.5</v>
      </c>
      <c r="H68" s="80">
        <f>H59+H60+H61+H64+H65+H66+H67</f>
        <v>-3141.2400000000002</v>
      </c>
      <c r="I68" s="84">
        <v>0.3795</v>
      </c>
      <c r="J68" s="79"/>
      <c r="K68" s="79">
        <f>K59+K60+K61+K64+K65+K66+K67</f>
        <v>5062.5</v>
      </c>
      <c r="L68" s="80">
        <f>L59+L60+L61+L64+L65+L66+L67</f>
        <v>-5062.5</v>
      </c>
      <c r="M68" s="84">
        <v>0</v>
      </c>
      <c r="N68" s="79"/>
      <c r="O68" s="79">
        <f>O59+O60+O61+O64+O65+O66+O67</f>
        <v>5062.5</v>
      </c>
      <c r="P68" s="80">
        <f>P59+P60+P61+P64+P65+P66+P67</f>
        <v>-5062.5</v>
      </c>
      <c r="Q68" s="84">
        <v>0</v>
      </c>
      <c r="R68" s="79"/>
      <c r="S68" s="79">
        <f>S59+S60+S61+S64+S65+S66+S67</f>
        <v>5062.5</v>
      </c>
      <c r="T68" s="80">
        <f>T59+T60+T61+T64+T65+T66+T67</f>
        <v>-5062.5</v>
      </c>
      <c r="U68" s="84">
        <v>0</v>
      </c>
      <c r="V68" s="79"/>
      <c r="W68" s="79">
        <f>W59+W60+W61+W64+W65+W66+W67</f>
        <v>5062.5</v>
      </c>
      <c r="X68" s="80">
        <f>X59+X60+X61+X64+X65+X66+X67</f>
        <v>-5062.5</v>
      </c>
      <c r="Y68" s="84">
        <v>0</v>
      </c>
      <c r="Z68" s="79"/>
      <c r="AA68" s="79">
        <f>AA59+AA60+AA61+AA64+AA65+AA66+AA67</f>
        <v>5062.5</v>
      </c>
      <c r="AB68" s="80">
        <f>AB59+AB60+AB61+AB64+AB65+AB66+AB67</f>
        <v>-5062.5</v>
      </c>
      <c r="AC68" s="84">
        <v>0</v>
      </c>
      <c r="AD68" s="79"/>
      <c r="AE68" s="79">
        <f>AE59+AE60+AE61+AE64+AE65+AE66+AE67</f>
        <v>5062.5</v>
      </c>
      <c r="AF68" s="80">
        <f>AF59+AF60+AF61+AF64+AF65+AF66+AF67</f>
        <v>-5062.5</v>
      </c>
      <c r="AG68" s="84">
        <v>0</v>
      </c>
      <c r="AH68" s="79"/>
      <c r="AI68" s="79">
        <f>AI59+AI60+AI61+AI64+AI65+AI66+AI67</f>
        <v>5062.5</v>
      </c>
      <c r="AJ68" s="80">
        <f>AJ59+AJ60+AJ61+AJ64+AJ65+AJ66+AJ67</f>
        <v>-5062.5</v>
      </c>
      <c r="AK68" s="84">
        <v>0</v>
      </c>
      <c r="AL68" s="79"/>
      <c r="AM68" s="79">
        <f>AM59+AM60+AM61+AM64+AM65+AM66+AM67</f>
        <v>5062.5</v>
      </c>
      <c r="AN68" s="80">
        <f>AN59+AN60+AN61+AN64+AN65+AN66+AN67</f>
        <v>-5062.5</v>
      </c>
      <c r="AO68" s="84">
        <v>0</v>
      </c>
      <c r="AP68" s="79"/>
      <c r="AQ68" s="79">
        <f>AQ59+AQ60+AQ61+AQ64+AQ65+AQ66+AQ67</f>
        <v>5062.5</v>
      </c>
      <c r="AR68" s="80">
        <f>AR59+AR60+AR61+AR64+AR65+AR66+AR67</f>
        <v>-5062.5</v>
      </c>
      <c r="AS68" s="84">
        <v>0</v>
      </c>
      <c r="AT68" s="79"/>
      <c r="AU68" s="79">
        <f>AU59+AU60+AU61+AU64+AU65+AU66+AU67</f>
        <v>5062.5</v>
      </c>
      <c r="AV68" s="80">
        <f>AV59+AV60+AV61+AV64+AV65+AV66+AV67</f>
        <v>-5062.5</v>
      </c>
      <c r="AW68" s="84">
        <v>0</v>
      </c>
      <c r="AX68" s="87">
        <f>B68+F68+J68+N68+R68+V68+Z68+AD68+AH68+AL68+AP68+AT68</f>
        <v>3977.37</v>
      </c>
      <c r="AY68" s="87">
        <f>C68+G68+K68+O68+S68+W68+AA68+AE68+AI68+AM68+AQ68+AU68</f>
        <v>60750.0</v>
      </c>
      <c r="AZ68" s="88">
        <f>D68+H68+L68+P68+T68+X68+AB68+AF68+AJ68+AN68+AR68+AV68</f>
        <v>-56772.630000000005</v>
      </c>
      <c r="BA68" s="84">
        <v>0.0655</v>
      </c>
    </row>
    <row r="69" spans="1:53" ht="16" outlineLevel="1">
      <c r="A69" s="64" t="s">
        <v>66</v>
      </c>
      <c r="B69" s="78">
        <v>1151.23</v>
      </c>
      <c r="C69" s="78">
        <v>2291.67</v>
      </c>
      <c r="D69" s="82">
        <v>-1140.44</v>
      </c>
      <c r="E69" s="83">
        <v>0.5024000000000001</v>
      </c>
      <c r="F69" s="78">
        <v>261.07</v>
      </c>
      <c r="G69" s="78">
        <v>2291.67</v>
      </c>
      <c r="H69" s="82">
        <v>-2030.6000000000001</v>
      </c>
      <c r="I69" s="83">
        <v>0.1139</v>
      </c>
      <c r="J69" s="77"/>
      <c r="K69" s="78">
        <v>2291.67</v>
      </c>
      <c r="L69" s="82">
        <v>-2291.67</v>
      </c>
      <c r="M69" s="83">
        <v>0</v>
      </c>
      <c r="N69" s="77"/>
      <c r="O69" s="78">
        <v>2291.67</v>
      </c>
      <c r="P69" s="82">
        <v>-2291.67</v>
      </c>
      <c r="Q69" s="83">
        <v>0</v>
      </c>
      <c r="R69" s="77"/>
      <c r="S69" s="78">
        <v>2291.67</v>
      </c>
      <c r="T69" s="82">
        <v>-2291.67</v>
      </c>
      <c r="U69" s="83">
        <v>0</v>
      </c>
      <c r="V69" s="77"/>
      <c r="W69" s="78">
        <v>2291.67</v>
      </c>
      <c r="X69" s="82">
        <v>-2291.67</v>
      </c>
      <c r="Y69" s="83">
        <v>0</v>
      </c>
      <c r="Z69" s="77"/>
      <c r="AA69" s="78">
        <v>2291.67</v>
      </c>
      <c r="AB69" s="82">
        <v>-2291.67</v>
      </c>
      <c r="AC69" s="83">
        <v>0</v>
      </c>
      <c r="AD69" s="77"/>
      <c r="AE69" s="78">
        <v>2291.67</v>
      </c>
      <c r="AF69" s="82">
        <v>-2291.67</v>
      </c>
      <c r="AG69" s="83">
        <v>0</v>
      </c>
      <c r="AH69" s="77"/>
      <c r="AI69" s="78">
        <v>2291.67</v>
      </c>
      <c r="AJ69" s="82">
        <v>-2291.67</v>
      </c>
      <c r="AK69" s="83">
        <v>0</v>
      </c>
      <c r="AL69" s="77"/>
      <c r="AM69" s="78">
        <v>2291.67</v>
      </c>
      <c r="AN69" s="82">
        <v>-2291.67</v>
      </c>
      <c r="AO69" s="83">
        <v>0</v>
      </c>
      <c r="AP69" s="77"/>
      <c r="AQ69" s="78">
        <v>2291.67</v>
      </c>
      <c r="AR69" s="82">
        <v>-2291.67</v>
      </c>
      <c r="AS69" s="83">
        <v>0</v>
      </c>
      <c r="AT69" s="77"/>
      <c r="AU69" s="78">
        <v>2291.63</v>
      </c>
      <c r="AV69" s="82">
        <v>-2291.63</v>
      </c>
      <c r="AW69" s="83">
        <v>0</v>
      </c>
      <c r="AX69" s="78">
        <f>B69+F69+J69+N69+R69+V69+Z69+AD69+AH69+AL69+AP69+AT69</f>
        <v>1412.3</v>
      </c>
      <c r="AY69" s="78">
        <f>C69+G69+K69+O69+S69+W69+AA69+AE69+AI69+AM69+AQ69+AU69</f>
        <v>27499.999999999996</v>
      </c>
      <c r="AZ69" s="82">
        <f>D69+H69+L69+P69+T69+X69+AB69+AF69+AJ69+AN69+AR69+AV69</f>
        <v>-26087.699999999993</v>
      </c>
      <c r="BA69" s="83">
        <v>0.051399999999999994</v>
      </c>
    </row>
    <row r="70" spans="1:53" ht="16" outlineLevel="2">
      <c r="A70" s="65" t="s">
        <v>67</v>
      </c>
      <c r="B70" s="78">
        <v>617.71</v>
      </c>
      <c r="C70" s="77"/>
      <c r="D70" s="78">
        <v>617.71</v>
      </c>
      <c r="E70" s="77" t="s">
        <v>4</v>
      </c>
      <c r="F70" s="77"/>
      <c r="G70" s="77"/>
      <c r="H70" s="77"/>
      <c r="I70" s="77" t="s">
        <v>4</v>
      </c>
      <c r="J70" s="77"/>
      <c r="K70" s="77"/>
      <c r="L70" s="77"/>
      <c r="M70" s="77" t="s">
        <v>4</v>
      </c>
      <c r="N70" s="77"/>
      <c r="O70" s="77"/>
      <c r="P70" s="77"/>
      <c r="Q70" s="77" t="s">
        <v>4</v>
      </c>
      <c r="R70" s="77"/>
      <c r="S70" s="77"/>
      <c r="T70" s="77"/>
      <c r="U70" s="77" t="s">
        <v>4</v>
      </c>
      <c r="V70" s="77"/>
      <c r="W70" s="77"/>
      <c r="X70" s="77"/>
      <c r="Y70" s="77" t="s">
        <v>4</v>
      </c>
      <c r="Z70" s="77"/>
      <c r="AA70" s="77"/>
      <c r="AB70" s="77"/>
      <c r="AC70" s="77" t="s">
        <v>4</v>
      </c>
      <c r="AD70" s="77"/>
      <c r="AE70" s="77"/>
      <c r="AF70" s="77"/>
      <c r="AG70" s="77" t="s">
        <v>4</v>
      </c>
      <c r="AH70" s="77"/>
      <c r="AI70" s="77"/>
      <c r="AJ70" s="77"/>
      <c r="AK70" s="77" t="s">
        <v>4</v>
      </c>
      <c r="AL70" s="77"/>
      <c r="AM70" s="77"/>
      <c r="AN70" s="77"/>
      <c r="AO70" s="77" t="s">
        <v>4</v>
      </c>
      <c r="AP70" s="77"/>
      <c r="AQ70" s="77"/>
      <c r="AR70" s="77"/>
      <c r="AS70" s="77" t="s">
        <v>4</v>
      </c>
      <c r="AT70" s="77"/>
      <c r="AU70" s="77"/>
      <c r="AV70" s="77"/>
      <c r="AW70" s="77" t="s">
        <v>4</v>
      </c>
      <c r="AX70" s="78">
        <f>B70+F70+J70+N70+R70+V70+Z70+AD70+AH70+AL70+AP70+AT70</f>
        <v>617.71</v>
      </c>
      <c r="AY70" s="77"/>
      <c r="AZ70" s="78">
        <f>D70+H70+L70+P70+T70+X70+AB70+AF70+AJ70+AN70+AR70+AV70</f>
        <v>617.71</v>
      </c>
      <c r="BA70" s="77" t="s">
        <v>4</v>
      </c>
    </row>
    <row r="71" spans="1:53" ht="16" outlineLevel="2">
      <c r="A71" s="65" t="s">
        <v>68</v>
      </c>
      <c r="B71" s="78">
        <v>962.42</v>
      </c>
      <c r="C71" s="77"/>
      <c r="D71" s="78">
        <v>962.42</v>
      </c>
      <c r="E71" s="77" t="s">
        <v>4</v>
      </c>
      <c r="F71" s="78">
        <v>959.09</v>
      </c>
      <c r="G71" s="77"/>
      <c r="H71" s="78">
        <v>959.09</v>
      </c>
      <c r="I71" s="77" t="s">
        <v>4</v>
      </c>
      <c r="J71" s="77"/>
      <c r="K71" s="77"/>
      <c r="L71" s="77"/>
      <c r="M71" s="77" t="s">
        <v>4</v>
      </c>
      <c r="N71" s="77"/>
      <c r="O71" s="77"/>
      <c r="P71" s="77"/>
      <c r="Q71" s="77" t="s">
        <v>4</v>
      </c>
      <c r="R71" s="77"/>
      <c r="S71" s="77"/>
      <c r="T71" s="77"/>
      <c r="U71" s="77" t="s">
        <v>4</v>
      </c>
      <c r="V71" s="77"/>
      <c r="W71" s="77"/>
      <c r="X71" s="77"/>
      <c r="Y71" s="77" t="s">
        <v>4</v>
      </c>
      <c r="Z71" s="77"/>
      <c r="AA71" s="77"/>
      <c r="AB71" s="77"/>
      <c r="AC71" s="77" t="s">
        <v>4</v>
      </c>
      <c r="AD71" s="77"/>
      <c r="AE71" s="77"/>
      <c r="AF71" s="77"/>
      <c r="AG71" s="77" t="s">
        <v>4</v>
      </c>
      <c r="AH71" s="77"/>
      <c r="AI71" s="77"/>
      <c r="AJ71" s="77"/>
      <c r="AK71" s="77" t="s">
        <v>4</v>
      </c>
      <c r="AL71" s="77"/>
      <c r="AM71" s="77"/>
      <c r="AN71" s="77"/>
      <c r="AO71" s="77" t="s">
        <v>4</v>
      </c>
      <c r="AP71" s="77"/>
      <c r="AQ71" s="77"/>
      <c r="AR71" s="77"/>
      <c r="AS71" s="77" t="s">
        <v>4</v>
      </c>
      <c r="AT71" s="77"/>
      <c r="AU71" s="77"/>
      <c r="AV71" s="77"/>
      <c r="AW71" s="77" t="s">
        <v>4</v>
      </c>
      <c r="AX71" s="78">
        <f>B71+F71+J71+N71+R71+V71+Z71+AD71+AH71+AL71+AP71+AT71</f>
        <v>1921.51</v>
      </c>
      <c r="AY71" s="77"/>
      <c r="AZ71" s="78">
        <f>D71+H71+L71+P71+T71+X71+AB71+AF71+AJ71+AN71+AR71+AV71</f>
        <v>1921.51</v>
      </c>
      <c r="BA71" s="77" t="s">
        <v>4</v>
      </c>
    </row>
    <row r="72" spans="1:53" ht="16" outlineLevel="2">
      <c r="A72" s="65" t="s">
        <v>69</v>
      </c>
      <c r="B72" s="78">
        <v>813.02</v>
      </c>
      <c r="C72" s="77"/>
      <c r="D72" s="78">
        <v>813.02</v>
      </c>
      <c r="E72" s="77" t="s">
        <v>4</v>
      </c>
      <c r="F72" s="78">
        <v>812.95</v>
      </c>
      <c r="G72" s="77"/>
      <c r="H72" s="78">
        <v>812.95</v>
      </c>
      <c r="I72" s="77" t="s">
        <v>4</v>
      </c>
      <c r="J72" s="77"/>
      <c r="K72" s="77"/>
      <c r="L72" s="77"/>
      <c r="M72" s="77" t="s">
        <v>4</v>
      </c>
      <c r="N72" s="77"/>
      <c r="O72" s="77"/>
      <c r="P72" s="77"/>
      <c r="Q72" s="77" t="s">
        <v>4</v>
      </c>
      <c r="R72" s="77"/>
      <c r="S72" s="77"/>
      <c r="T72" s="77"/>
      <c r="U72" s="77" t="s">
        <v>4</v>
      </c>
      <c r="V72" s="77"/>
      <c r="W72" s="77"/>
      <c r="X72" s="77"/>
      <c r="Y72" s="77" t="s">
        <v>4</v>
      </c>
      <c r="Z72" s="77"/>
      <c r="AA72" s="77"/>
      <c r="AB72" s="77"/>
      <c r="AC72" s="77" t="s">
        <v>4</v>
      </c>
      <c r="AD72" s="77"/>
      <c r="AE72" s="77"/>
      <c r="AF72" s="77"/>
      <c r="AG72" s="77" t="s">
        <v>4</v>
      </c>
      <c r="AH72" s="77"/>
      <c r="AI72" s="77"/>
      <c r="AJ72" s="77"/>
      <c r="AK72" s="77" t="s">
        <v>4</v>
      </c>
      <c r="AL72" s="77"/>
      <c r="AM72" s="77"/>
      <c r="AN72" s="77"/>
      <c r="AO72" s="77" t="s">
        <v>4</v>
      </c>
      <c r="AP72" s="77"/>
      <c r="AQ72" s="77"/>
      <c r="AR72" s="77"/>
      <c r="AS72" s="77" t="s">
        <v>4</v>
      </c>
      <c r="AT72" s="77"/>
      <c r="AU72" s="77"/>
      <c r="AV72" s="77"/>
      <c r="AW72" s="77" t="s">
        <v>4</v>
      </c>
      <c r="AX72" s="78">
        <f>B72+F72+J72+N72+R72+V72+Z72+AD72+AH72+AL72+AP72+AT72</f>
        <v>1625.97</v>
      </c>
      <c r="AY72" s="77"/>
      <c r="AZ72" s="78">
        <f>D72+H72+L72+P72+T72+X72+AB72+AF72+AJ72+AN72+AR72+AV72</f>
        <v>1625.97</v>
      </c>
      <c r="BA72" s="77" t="s">
        <v>4</v>
      </c>
    </row>
    <row r="73" spans="1:53" ht="16" outlineLevel="1">
      <c r="A73" s="66" t="s">
        <v>70</v>
      </c>
      <c r="B73" s="79">
        <f>B69+B70+B71+B72</f>
        <v>3544.38</v>
      </c>
      <c r="C73" s="79">
        <f>C69+C70+C71+C72</f>
        <v>2291.67</v>
      </c>
      <c r="D73" s="79">
        <f>D69+D70+D71+D72</f>
        <v>1252.71</v>
      </c>
      <c r="E73" s="84">
        <v>1.5466</v>
      </c>
      <c r="F73" s="79">
        <f>F69+F70+F71+F72</f>
        <v>2033.1100000000001</v>
      </c>
      <c r="G73" s="79">
        <f>G69+G70+G71+G72</f>
        <v>2291.67</v>
      </c>
      <c r="H73" s="80">
        <f>H69+H70+H71+H72</f>
        <v>-258.5600000000002</v>
      </c>
      <c r="I73" s="84">
        <v>0.8872</v>
      </c>
      <c r="J73" s="79"/>
      <c r="K73" s="79">
        <f>K69+K70+K71+K72</f>
        <v>2291.67</v>
      </c>
      <c r="L73" s="80">
        <f>L69+L70+L71+L72</f>
        <v>-2291.67</v>
      </c>
      <c r="M73" s="84">
        <v>0</v>
      </c>
      <c r="N73" s="79"/>
      <c r="O73" s="79">
        <f>O69+O70+O71+O72</f>
        <v>2291.67</v>
      </c>
      <c r="P73" s="80">
        <f>P69+P70+P71+P72</f>
        <v>-2291.67</v>
      </c>
      <c r="Q73" s="84">
        <v>0</v>
      </c>
      <c r="R73" s="79"/>
      <c r="S73" s="79">
        <f>S69+S70+S71+S72</f>
        <v>2291.67</v>
      </c>
      <c r="T73" s="80">
        <f>T69+T70+T71+T72</f>
        <v>-2291.67</v>
      </c>
      <c r="U73" s="84">
        <v>0</v>
      </c>
      <c r="V73" s="79"/>
      <c r="W73" s="79">
        <f>W69+W70+W71+W72</f>
        <v>2291.67</v>
      </c>
      <c r="X73" s="80">
        <f>X69+X70+X71+X72</f>
        <v>-2291.67</v>
      </c>
      <c r="Y73" s="84">
        <v>0</v>
      </c>
      <c r="Z73" s="79"/>
      <c r="AA73" s="79">
        <f>AA69+AA70+AA71+AA72</f>
        <v>2291.67</v>
      </c>
      <c r="AB73" s="80">
        <f>AB69+AB70+AB71+AB72</f>
        <v>-2291.67</v>
      </c>
      <c r="AC73" s="84">
        <v>0</v>
      </c>
      <c r="AD73" s="79"/>
      <c r="AE73" s="79">
        <f>AE69+AE70+AE71+AE72</f>
        <v>2291.67</v>
      </c>
      <c r="AF73" s="80">
        <f>AF69+AF70+AF71+AF72</f>
        <v>-2291.67</v>
      </c>
      <c r="AG73" s="84">
        <v>0</v>
      </c>
      <c r="AH73" s="79"/>
      <c r="AI73" s="79">
        <f>AI69+AI70+AI71+AI72</f>
        <v>2291.67</v>
      </c>
      <c r="AJ73" s="80">
        <f>AJ69+AJ70+AJ71+AJ72</f>
        <v>-2291.67</v>
      </c>
      <c r="AK73" s="84">
        <v>0</v>
      </c>
      <c r="AL73" s="79"/>
      <c r="AM73" s="79">
        <f>AM69+AM70+AM71+AM72</f>
        <v>2291.67</v>
      </c>
      <c r="AN73" s="80">
        <f>AN69+AN70+AN71+AN72</f>
        <v>-2291.67</v>
      </c>
      <c r="AO73" s="84">
        <v>0</v>
      </c>
      <c r="AP73" s="79"/>
      <c r="AQ73" s="79">
        <f>AQ69+AQ70+AQ71+AQ72</f>
        <v>2291.67</v>
      </c>
      <c r="AR73" s="80">
        <f>AR69+AR70+AR71+AR72</f>
        <v>-2291.67</v>
      </c>
      <c r="AS73" s="84">
        <v>0</v>
      </c>
      <c r="AT73" s="79"/>
      <c r="AU73" s="79">
        <f>AU69+AU70+AU71+AU72</f>
        <v>2291.63</v>
      </c>
      <c r="AV73" s="80">
        <f>AV69+AV70+AV71+AV72</f>
        <v>-2291.63</v>
      </c>
      <c r="AW73" s="84">
        <v>0</v>
      </c>
      <c r="AX73" s="87">
        <f>B73+F73+J73+N73+R73+V73+Z73+AD73+AH73+AL73+AP73+AT73</f>
        <v>5577.49</v>
      </c>
      <c r="AY73" s="87">
        <f>C73+G73+K73+O73+S73+W73+AA73+AE73+AI73+AM73+AQ73+AU73</f>
        <v>27499.999999999996</v>
      </c>
      <c r="AZ73" s="88">
        <f>D73+H73+L73+P73+T73+X73+AB73+AF73+AJ73+AN73+AR73+AV73</f>
        <v>-21922.51</v>
      </c>
      <c r="BA73" s="84">
        <v>0.2028</v>
      </c>
    </row>
    <row r="74" spans="1:53" ht="16" outlineLevel="1">
      <c r="A74" s="64" t="s">
        <v>71</v>
      </c>
      <c r="B74" s="77"/>
      <c r="C74" s="78">
        <v>50.0</v>
      </c>
      <c r="D74" s="82">
        <v>-50.0</v>
      </c>
      <c r="E74" s="83">
        <v>0</v>
      </c>
      <c r="F74" s="77"/>
      <c r="G74" s="78">
        <v>50.0</v>
      </c>
      <c r="H74" s="82">
        <v>-50.0</v>
      </c>
      <c r="I74" s="83">
        <v>0</v>
      </c>
      <c r="J74" s="77"/>
      <c r="K74" s="78">
        <v>50.0</v>
      </c>
      <c r="L74" s="82">
        <v>-50.0</v>
      </c>
      <c r="M74" s="83">
        <v>0</v>
      </c>
      <c r="N74" s="77"/>
      <c r="O74" s="78">
        <v>50.0</v>
      </c>
      <c r="P74" s="82">
        <v>-50.0</v>
      </c>
      <c r="Q74" s="83">
        <v>0</v>
      </c>
      <c r="R74" s="77"/>
      <c r="S74" s="78">
        <v>50.0</v>
      </c>
      <c r="T74" s="82">
        <v>-50.0</v>
      </c>
      <c r="U74" s="83">
        <v>0</v>
      </c>
      <c r="V74" s="77"/>
      <c r="W74" s="78">
        <v>50.0</v>
      </c>
      <c r="X74" s="82">
        <v>-50.0</v>
      </c>
      <c r="Y74" s="83">
        <v>0</v>
      </c>
      <c r="Z74" s="77"/>
      <c r="AA74" s="78">
        <v>50.0</v>
      </c>
      <c r="AB74" s="82">
        <v>-50.0</v>
      </c>
      <c r="AC74" s="83">
        <v>0</v>
      </c>
      <c r="AD74" s="77"/>
      <c r="AE74" s="78">
        <v>50.0</v>
      </c>
      <c r="AF74" s="82">
        <v>-50.0</v>
      </c>
      <c r="AG74" s="83">
        <v>0</v>
      </c>
      <c r="AH74" s="77"/>
      <c r="AI74" s="78">
        <v>50.0</v>
      </c>
      <c r="AJ74" s="82">
        <v>-50.0</v>
      </c>
      <c r="AK74" s="83">
        <v>0</v>
      </c>
      <c r="AL74" s="77"/>
      <c r="AM74" s="78">
        <v>50.0</v>
      </c>
      <c r="AN74" s="82">
        <v>-50.0</v>
      </c>
      <c r="AO74" s="83">
        <v>0</v>
      </c>
      <c r="AP74" s="77"/>
      <c r="AQ74" s="78">
        <v>50.0</v>
      </c>
      <c r="AR74" s="82">
        <v>-50.0</v>
      </c>
      <c r="AS74" s="83">
        <v>0</v>
      </c>
      <c r="AT74" s="77"/>
      <c r="AU74" s="78">
        <v>50.0</v>
      </c>
      <c r="AV74" s="82">
        <v>-50.0</v>
      </c>
      <c r="AW74" s="83">
        <v>0</v>
      </c>
      <c r="AX74" s="77"/>
      <c r="AY74" s="78">
        <f>C74+G74+K74+O74+S74+W74+AA74+AE74+AI74+AM74+AQ74+AU74</f>
        <v>600.0</v>
      </c>
      <c r="AZ74" s="82">
        <f>D74+H74+L74+P74+T74+X74+AB74+AF74+AJ74+AN74+AR74+AV74</f>
        <v>-600.0</v>
      </c>
      <c r="BA74" s="89">
        <f>IFERROR(E74+I74+M74+Q74+U74+Y74+AC74+AG74+AK74+AO74+AS74+AW74,"")</f>
        <v>0.0</v>
      </c>
    </row>
    <row r="75" spans="1:53" ht="16" outlineLevel="1">
      <c r="A75" s="64" t="s">
        <v>72</v>
      </c>
      <c r="B75" s="77"/>
      <c r="C75" s="78">
        <v>125.0</v>
      </c>
      <c r="D75" s="82">
        <v>-125.0</v>
      </c>
      <c r="E75" s="83">
        <v>0</v>
      </c>
      <c r="F75" s="77"/>
      <c r="G75" s="78">
        <v>125.0</v>
      </c>
      <c r="H75" s="82">
        <v>-125.0</v>
      </c>
      <c r="I75" s="83">
        <v>0</v>
      </c>
      <c r="J75" s="77"/>
      <c r="K75" s="78">
        <v>125.0</v>
      </c>
      <c r="L75" s="82">
        <v>-125.0</v>
      </c>
      <c r="M75" s="83">
        <v>0</v>
      </c>
      <c r="N75" s="77"/>
      <c r="O75" s="78">
        <v>125.0</v>
      </c>
      <c r="P75" s="82">
        <v>-125.0</v>
      </c>
      <c r="Q75" s="83">
        <v>0</v>
      </c>
      <c r="R75" s="77"/>
      <c r="S75" s="78">
        <v>125.0</v>
      </c>
      <c r="T75" s="82">
        <v>-125.0</v>
      </c>
      <c r="U75" s="83">
        <v>0</v>
      </c>
      <c r="V75" s="77"/>
      <c r="W75" s="78">
        <v>125.0</v>
      </c>
      <c r="X75" s="82">
        <v>-125.0</v>
      </c>
      <c r="Y75" s="83">
        <v>0</v>
      </c>
      <c r="Z75" s="77"/>
      <c r="AA75" s="78">
        <v>125.0</v>
      </c>
      <c r="AB75" s="82">
        <v>-125.0</v>
      </c>
      <c r="AC75" s="83">
        <v>0</v>
      </c>
      <c r="AD75" s="77"/>
      <c r="AE75" s="78">
        <v>125.0</v>
      </c>
      <c r="AF75" s="82">
        <v>-125.0</v>
      </c>
      <c r="AG75" s="83">
        <v>0</v>
      </c>
      <c r="AH75" s="77"/>
      <c r="AI75" s="78">
        <v>125.0</v>
      </c>
      <c r="AJ75" s="82">
        <v>-125.0</v>
      </c>
      <c r="AK75" s="83">
        <v>0</v>
      </c>
      <c r="AL75" s="77"/>
      <c r="AM75" s="78">
        <v>125.0</v>
      </c>
      <c r="AN75" s="82">
        <v>-125.0</v>
      </c>
      <c r="AO75" s="83">
        <v>0</v>
      </c>
      <c r="AP75" s="77"/>
      <c r="AQ75" s="78">
        <v>125.0</v>
      </c>
      <c r="AR75" s="82">
        <v>-125.0</v>
      </c>
      <c r="AS75" s="83">
        <v>0</v>
      </c>
      <c r="AT75" s="77"/>
      <c r="AU75" s="78">
        <v>125.0</v>
      </c>
      <c r="AV75" s="82">
        <v>-125.0</v>
      </c>
      <c r="AW75" s="83">
        <v>0</v>
      </c>
      <c r="AX75" s="77"/>
      <c r="AY75" s="78">
        <f>C75+G75+K75+O75+S75+W75+AA75+AE75+AI75+AM75+AQ75+AU75</f>
        <v>1500.0</v>
      </c>
      <c r="AZ75" s="82">
        <f>D75+H75+L75+P75+T75+X75+AB75+AF75+AJ75+AN75+AR75+AV75</f>
        <v>-1500.0</v>
      </c>
      <c r="BA75" s="89">
        <f>IFERROR(E75+I75+M75+Q75+U75+Y75+AC75+AG75+AK75+AO75+AS75+AW75,"")</f>
        <v>0.0</v>
      </c>
    </row>
    <row r="76" spans="1:53" ht="16">
      <c r="A76" s="67" t="s">
        <v>73</v>
      </c>
      <c r="B76" s="79">
        <f>B18+B21+B22+B25+B30+B33+B37+B42+B52+B53+B58+B68+B73+B74+B75</f>
        <v>50933.67999999999</v>
      </c>
      <c r="C76" s="79">
        <f>C18+C21+C22+C25+C30+C33+C37+C42+C52+C53+C58+C68+C73+C74+C75</f>
        <v>50980.83</v>
      </c>
      <c r="D76" s="80">
        <f>D18+D21+D22+D25+D30+D33+D37+D42+D52+D53+D58+D68+D73+D74+D75</f>
        <v>-47.150000000004866</v>
      </c>
      <c r="E76" s="84">
        <v>0.9991</v>
      </c>
      <c r="F76" s="79">
        <f>F18+F21+F22+F25+F30+F33+F37+F42+F52+F53+F58+F68+F73+F74+F75</f>
        <v>49744.32000000001</v>
      </c>
      <c r="G76" s="79">
        <f>G18+G21+G22+G25+G30+G33+G37+G42+G52+G53+G58+G68+G73+G74+G75</f>
        <v>50980.83</v>
      </c>
      <c r="H76" s="80">
        <f>H18+H21+H22+H25+H30+H33+H37+H42+H52+H53+H58+H68+H73+H74+H75</f>
        <v>-1236.5100000000004</v>
      </c>
      <c r="I76" s="84">
        <v>0.9756999999999999</v>
      </c>
      <c r="J76" s="79"/>
      <c r="K76" s="79">
        <f>K18+K21+K22+K25+K30+K33+K37+K42+K52+K53+K58+K68+K73+K74+K75</f>
        <v>50980.83</v>
      </c>
      <c r="L76" s="80">
        <f>L18+L21+L22+L25+L30+L33+L37+L42+L52+L53+L58+L68+L73+L74+L75</f>
        <v>-50980.83</v>
      </c>
      <c r="M76" s="84">
        <v>0</v>
      </c>
      <c r="N76" s="79"/>
      <c r="O76" s="79">
        <f>O18+O21+O22+O25+O30+O33+O37+O42+O52+O53+O58+O68+O73+O74+O75</f>
        <v>50980.83</v>
      </c>
      <c r="P76" s="80">
        <f>P18+P21+P22+P25+P30+P33+P37+P42+P52+P53+P58+P68+P73+P74+P75</f>
        <v>-50980.83</v>
      </c>
      <c r="Q76" s="84">
        <v>0</v>
      </c>
      <c r="R76" s="79"/>
      <c r="S76" s="79">
        <f>S18+S21+S22+S25+S30+S33+S37+S42+S52+S53+S58+S68+S73+S74+S75</f>
        <v>50980.83</v>
      </c>
      <c r="T76" s="80">
        <f>T18+T21+T22+T25+T30+T33+T37+T42+T52+T53+T58+T68+T73+T74+T75</f>
        <v>-50980.83</v>
      </c>
      <c r="U76" s="84">
        <v>0</v>
      </c>
      <c r="V76" s="79"/>
      <c r="W76" s="79">
        <f>W18+W21+W22+W25+W30+W33+W37+W42+W52+W53+W58+W68+W73+W74+W75</f>
        <v>50980.83</v>
      </c>
      <c r="X76" s="80">
        <f>X18+X21+X22+X25+X30+X33+X37+X42+X52+X53+X58+X68+X73+X74+X75</f>
        <v>-50980.83</v>
      </c>
      <c r="Y76" s="84">
        <v>0</v>
      </c>
      <c r="Z76" s="79"/>
      <c r="AA76" s="79">
        <f>AA18+AA21+AA22+AA25+AA30+AA33+AA37+AA42+AA52+AA53+AA58+AA68+AA73+AA74+AA75</f>
        <v>50980.83</v>
      </c>
      <c r="AB76" s="80">
        <f>AB18+AB21+AB22+AB25+AB30+AB33+AB37+AB42+AB52+AB53+AB58+AB68+AB73+AB74+AB75</f>
        <v>-50980.83</v>
      </c>
      <c r="AC76" s="84">
        <v>0</v>
      </c>
      <c r="AD76" s="79"/>
      <c r="AE76" s="79">
        <f>AE18+AE21+AE22+AE25+AE30+AE33+AE37+AE42+AE52+AE53+AE58+AE68+AE73+AE74+AE75</f>
        <v>50980.83</v>
      </c>
      <c r="AF76" s="80">
        <f>AF18+AF21+AF22+AF25+AF30+AF33+AF37+AF42+AF52+AF53+AF58+AF68+AF73+AF74+AF75</f>
        <v>-50980.83</v>
      </c>
      <c r="AG76" s="84">
        <v>0</v>
      </c>
      <c r="AH76" s="79"/>
      <c r="AI76" s="79">
        <f>AI18+AI21+AI22+AI25+AI30+AI33+AI37+AI42+AI52+AI53+AI58+AI68+AI73+AI74+AI75</f>
        <v>50980.83</v>
      </c>
      <c r="AJ76" s="80">
        <f>AJ18+AJ21+AJ22+AJ25+AJ30+AJ33+AJ37+AJ42+AJ52+AJ53+AJ58+AJ68+AJ73+AJ74+AJ75</f>
        <v>-50980.83</v>
      </c>
      <c r="AK76" s="84">
        <v>0</v>
      </c>
      <c r="AL76" s="79"/>
      <c r="AM76" s="79">
        <f>AM18+AM21+AM22+AM25+AM30+AM33+AM37+AM42+AM52+AM53+AM58+AM68+AM73+AM74+AM75</f>
        <v>50980.83</v>
      </c>
      <c r="AN76" s="80">
        <f>AN18+AN21+AN22+AN25+AN30+AN33+AN37+AN42+AN52+AN53+AN58+AN68+AN73+AN74+AN75</f>
        <v>-50980.83</v>
      </c>
      <c r="AO76" s="84">
        <v>0</v>
      </c>
      <c r="AP76" s="79"/>
      <c r="AQ76" s="79">
        <f>AQ18+AQ21+AQ22+AQ25+AQ30+AQ33+AQ37+AQ42+AQ52+AQ53+AQ58+AQ68+AQ73+AQ74+AQ75</f>
        <v>50980.83</v>
      </c>
      <c r="AR76" s="80">
        <f>AR18+AR21+AR22+AR25+AR30+AR33+AR37+AR42+AR52+AR53+AR58+AR68+AR73+AR74+AR75</f>
        <v>-50980.83</v>
      </c>
      <c r="AS76" s="84">
        <v>0</v>
      </c>
      <c r="AT76" s="79"/>
      <c r="AU76" s="79">
        <f>AU18+AU21+AU22+AU25+AU30+AU33+AU37+AU42+AU52+AU53+AU58+AU68+AU73+AU74+AU75</f>
        <v>50980.869999999995</v>
      </c>
      <c r="AV76" s="80">
        <f>AV18+AV21+AV22+AV25+AV30+AV33+AV37+AV42+AV52+AV53+AV58+AV68+AV73+AV74+AV75</f>
        <v>-50980.869999999995</v>
      </c>
      <c r="AW76" s="84">
        <v>0</v>
      </c>
      <c r="AX76" s="87">
        <f>B76+F76+J76+N76+R76+V76+Z76+AD76+AH76+AL76+AP76+AT76</f>
        <v>100678.0</v>
      </c>
      <c r="AY76" s="87">
        <f>C76+G76+K76+O76+S76+W76+AA76+AE76+AI76+AM76+AQ76+AU76</f>
        <v>611770.0000000001</v>
      </c>
      <c r="AZ76" s="88">
        <f>D76+H76+L76+P76+T76+X76+AB76+AF76+AJ76+AN76+AR76+AV76</f>
        <v>-511092.0000000001</v>
      </c>
      <c r="BA76" s="91">
        <v>0.1646</v>
      </c>
    </row>
    <row r="77" spans="1:53" ht="16">
      <c r="A77" s="67" t="s">
        <v>74</v>
      </c>
      <c r="B77" s="79">
        <f>B16-B76</f>
        <v>6391.960000000006</v>
      </c>
      <c r="C77" s="79">
        <f>C16-C76</f>
        <v>22060.839999999997</v>
      </c>
      <c r="D77" s="80">
        <f>D16-D76</f>
        <v>-15668.879999999996</v>
      </c>
      <c r="E77" s="84">
        <v>0.2897</v>
      </c>
      <c r="F77" s="79">
        <f>F16-F76</f>
        <v>12320.12999999999</v>
      </c>
      <c r="G77" s="79">
        <f>G16-G76</f>
        <v>22060.839999999997</v>
      </c>
      <c r="H77" s="80">
        <f>H16-H76</f>
        <v>-9740.71</v>
      </c>
      <c r="I77" s="84">
        <v>0.5585</v>
      </c>
      <c r="J77" s="79"/>
      <c r="K77" s="79">
        <f>K16-K76</f>
        <v>22060.839999999997</v>
      </c>
      <c r="L77" s="80">
        <f>L16-L76</f>
        <v>-22060.839999999997</v>
      </c>
      <c r="M77" s="84">
        <v>0</v>
      </c>
      <c r="N77" s="79"/>
      <c r="O77" s="79">
        <f>O16-O76</f>
        <v>22060.839999999997</v>
      </c>
      <c r="P77" s="80">
        <f>P16-P76</f>
        <v>-22060.839999999997</v>
      </c>
      <c r="Q77" s="84">
        <v>0</v>
      </c>
      <c r="R77" s="79"/>
      <c r="S77" s="79">
        <f>S16-S76</f>
        <v>22060.839999999997</v>
      </c>
      <c r="T77" s="80">
        <f>T16-T76</f>
        <v>-22060.839999999997</v>
      </c>
      <c r="U77" s="84">
        <v>0</v>
      </c>
      <c r="V77" s="79"/>
      <c r="W77" s="79">
        <f>W16-W76</f>
        <v>22060.839999999997</v>
      </c>
      <c r="X77" s="80">
        <f>X16-X76</f>
        <v>-22060.839999999997</v>
      </c>
      <c r="Y77" s="84">
        <v>0</v>
      </c>
      <c r="Z77" s="79"/>
      <c r="AA77" s="79">
        <f>AA16-AA76</f>
        <v>22060.839999999997</v>
      </c>
      <c r="AB77" s="80">
        <f>AB16-AB76</f>
        <v>-22060.839999999997</v>
      </c>
      <c r="AC77" s="84">
        <v>0</v>
      </c>
      <c r="AD77" s="79"/>
      <c r="AE77" s="79">
        <f>AE16-AE76</f>
        <v>22060.839999999997</v>
      </c>
      <c r="AF77" s="80">
        <f>AF16-AF76</f>
        <v>-22060.839999999997</v>
      </c>
      <c r="AG77" s="84">
        <v>0</v>
      </c>
      <c r="AH77" s="79"/>
      <c r="AI77" s="79">
        <f>AI16-AI76</f>
        <v>22060.839999999997</v>
      </c>
      <c r="AJ77" s="80">
        <f>AJ16-AJ76</f>
        <v>-22060.839999999997</v>
      </c>
      <c r="AK77" s="84">
        <v>0</v>
      </c>
      <c r="AL77" s="79"/>
      <c r="AM77" s="79">
        <f>AM16-AM76</f>
        <v>22060.839999999997</v>
      </c>
      <c r="AN77" s="80">
        <f>AN16-AN76</f>
        <v>-22060.839999999997</v>
      </c>
      <c r="AO77" s="84">
        <v>0</v>
      </c>
      <c r="AP77" s="79"/>
      <c r="AQ77" s="79">
        <f>AQ16-AQ76</f>
        <v>22060.839999999997</v>
      </c>
      <c r="AR77" s="80">
        <f>AR16-AR76</f>
        <v>-22060.839999999997</v>
      </c>
      <c r="AS77" s="84">
        <v>0</v>
      </c>
      <c r="AT77" s="79"/>
      <c r="AU77" s="79">
        <f>AU16-AU76</f>
        <v>22060.76000000001</v>
      </c>
      <c r="AV77" s="80">
        <f>AV16-AV76</f>
        <v>-22060.76000000001</v>
      </c>
      <c r="AW77" s="84">
        <v>0</v>
      </c>
      <c r="AX77" s="87">
        <f>B77+F77+J77+N77+R77+V77+Z77+AD77+AH77+AL77+AP77+AT77</f>
        <v>18712.089999999997</v>
      </c>
      <c r="AY77" s="87">
        <f>C77+G77+K77+O77+S77+W77+AA77+AE77+AI77+AM77+AQ77+AU77</f>
        <v>264730.0</v>
      </c>
      <c r="AZ77" s="88">
        <f>D77+H77+L77+P77+T77+X77+AB77+AF77+AJ77+AN77+AR77+AV77</f>
        <v>-246017.90999999997</v>
      </c>
      <c r="BA77" s="84">
        <v>0.0707</v>
      </c>
    </row>
    <row r="78" spans="1:49" ht="16">
      <c r="A78" s="63" t="s">
        <v>75</v>
      </c>
      <c r="B78" s="77"/>
      <c r="C78" s="77"/>
      <c r="D78" s="77"/>
      <c r="E78" s="77" t="s">
        <v>4</v>
      </c>
      <c r="F78" s="77"/>
      <c r="G78" s="77"/>
      <c r="H78" s="77"/>
      <c r="I78" s="77" t="s">
        <v>4</v>
      </c>
      <c r="J78" s="77"/>
      <c r="K78" s="77"/>
      <c r="L78" s="77"/>
      <c r="M78" s="77" t="s">
        <v>4</v>
      </c>
      <c r="N78" s="77"/>
      <c r="O78" s="77"/>
      <c r="P78" s="77"/>
      <c r="Q78" s="77" t="s">
        <v>4</v>
      </c>
      <c r="R78" s="77"/>
      <c r="S78" s="77"/>
      <c r="T78" s="77"/>
      <c r="U78" s="77" t="s">
        <v>4</v>
      </c>
      <c r="V78" s="77"/>
      <c r="W78" s="77"/>
      <c r="X78" s="77"/>
      <c r="Y78" s="77" t="s">
        <v>4</v>
      </c>
      <c r="Z78" s="77"/>
      <c r="AA78" s="77"/>
      <c r="AB78" s="77"/>
      <c r="AC78" s="77" t="s">
        <v>4</v>
      </c>
      <c r="AD78" s="77"/>
      <c r="AE78" s="77"/>
      <c r="AF78" s="77"/>
      <c r="AG78" s="77" t="s">
        <v>4</v>
      </c>
      <c r="AH78" s="77"/>
      <c r="AI78" s="77"/>
      <c r="AJ78" s="77"/>
      <c r="AK78" s="77" t="s">
        <v>4</v>
      </c>
      <c r="AL78" s="77"/>
      <c r="AM78" s="77"/>
      <c r="AN78" s="77"/>
      <c r="AO78" s="77" t="s">
        <v>4</v>
      </c>
      <c r="AP78" s="77"/>
      <c r="AQ78" s="77"/>
      <c r="AR78" s="77"/>
      <c r="AS78" s="77" t="s">
        <v>4</v>
      </c>
      <c r="AT78" s="77"/>
      <c r="AU78" s="77"/>
      <c r="AV78" s="77"/>
      <c r="AW78" s="77" t="s">
        <v>4</v>
      </c>
    </row>
    <row r="79" spans="1:53" ht="16" outlineLevel="1">
      <c r="A79" s="64" t="s">
        <v>76</v>
      </c>
      <c r="B79" s="77"/>
      <c r="C79" s="77"/>
      <c r="D79" s="77"/>
      <c r="E79" s="77" t="s">
        <v>4</v>
      </c>
      <c r="F79" s="77"/>
      <c r="G79" s="77"/>
      <c r="H79" s="77"/>
      <c r="I79" s="77" t="s">
        <v>4</v>
      </c>
      <c r="J79" s="77"/>
      <c r="K79" s="77"/>
      <c r="L79" s="77"/>
      <c r="M79" s="77" t="s">
        <v>4</v>
      </c>
      <c r="N79" s="77"/>
      <c r="O79" s="77"/>
      <c r="P79" s="77"/>
      <c r="Q79" s="77" t="s">
        <v>4</v>
      </c>
      <c r="R79" s="77"/>
      <c r="S79" s="77"/>
      <c r="T79" s="77"/>
      <c r="U79" s="77" t="s">
        <v>4</v>
      </c>
      <c r="V79" s="77"/>
      <c r="W79" s="77"/>
      <c r="X79" s="77"/>
      <c r="Y79" s="77" t="s">
        <v>4</v>
      </c>
      <c r="Z79" s="77"/>
      <c r="AA79" s="77"/>
      <c r="AB79" s="77"/>
      <c r="AC79" s="77" t="s">
        <v>4</v>
      </c>
      <c r="AD79" s="77"/>
      <c r="AE79" s="77"/>
      <c r="AF79" s="77"/>
      <c r="AG79" s="77" t="s">
        <v>4</v>
      </c>
      <c r="AH79" s="77"/>
      <c r="AI79" s="77"/>
      <c r="AJ79" s="77"/>
      <c r="AK79" s="77" t="s">
        <v>4</v>
      </c>
      <c r="AL79" s="77"/>
      <c r="AM79" s="77"/>
      <c r="AN79" s="77"/>
      <c r="AO79" s="77" t="s">
        <v>4</v>
      </c>
      <c r="AP79" s="77"/>
      <c r="AQ79" s="77"/>
      <c r="AR79" s="77"/>
      <c r="AS79" s="77" t="s">
        <v>4</v>
      </c>
      <c r="AT79" s="77"/>
      <c r="AU79" s="77"/>
      <c r="AV79" s="77"/>
      <c r="AW79" s="77" t="s">
        <v>4</v>
      </c>
      <c r="AX79" s="77"/>
      <c r="AY79" s="77"/>
      <c r="AZ79" s="77"/>
      <c r="BA79" s="77" t="s">
        <v>4</v>
      </c>
    </row>
    <row r="80" spans="1:53" ht="16" outlineLevel="2">
      <c r="A80" s="65" t="s">
        <v>77</v>
      </c>
      <c r="B80" s="78">
        <v>114.75</v>
      </c>
      <c r="C80" s="77"/>
      <c r="D80" s="78">
        <v>114.75</v>
      </c>
      <c r="E80" s="77" t="s">
        <v>4</v>
      </c>
      <c r="F80" s="77"/>
      <c r="G80" s="77"/>
      <c r="H80" s="77"/>
      <c r="I80" s="77" t="s">
        <v>4</v>
      </c>
      <c r="J80" s="77"/>
      <c r="K80" s="77"/>
      <c r="L80" s="77"/>
      <c r="M80" s="77" t="s">
        <v>4</v>
      </c>
      <c r="N80" s="77"/>
      <c r="O80" s="77"/>
      <c r="P80" s="77"/>
      <c r="Q80" s="77" t="s">
        <v>4</v>
      </c>
      <c r="R80" s="77"/>
      <c r="S80" s="77"/>
      <c r="T80" s="77"/>
      <c r="U80" s="77" t="s">
        <v>4</v>
      </c>
      <c r="V80" s="77"/>
      <c r="W80" s="77"/>
      <c r="X80" s="77"/>
      <c r="Y80" s="77" t="s">
        <v>4</v>
      </c>
      <c r="Z80" s="77"/>
      <c r="AA80" s="77"/>
      <c r="AB80" s="77"/>
      <c r="AC80" s="77" t="s">
        <v>4</v>
      </c>
      <c r="AD80" s="77"/>
      <c r="AE80" s="77"/>
      <c r="AF80" s="77"/>
      <c r="AG80" s="77" t="s">
        <v>4</v>
      </c>
      <c r="AH80" s="77"/>
      <c r="AI80" s="77"/>
      <c r="AJ80" s="77"/>
      <c r="AK80" s="77" t="s">
        <v>4</v>
      </c>
      <c r="AL80" s="77"/>
      <c r="AM80" s="77"/>
      <c r="AN80" s="77"/>
      <c r="AO80" s="77" t="s">
        <v>4</v>
      </c>
      <c r="AP80" s="77"/>
      <c r="AQ80" s="77"/>
      <c r="AR80" s="77"/>
      <c r="AS80" s="77" t="s">
        <v>4</v>
      </c>
      <c r="AT80" s="77"/>
      <c r="AU80" s="77"/>
      <c r="AV80" s="77"/>
      <c r="AW80" s="77" t="s">
        <v>4</v>
      </c>
      <c r="AX80" s="78">
        <f>B80+F80+J80+N80+R80+V80+Z80+AD80+AH80+AL80+AP80+AT80</f>
        <v>114.75</v>
      </c>
      <c r="AY80" s="77"/>
      <c r="AZ80" s="78">
        <f>D80+H80+L80+P80+T80+X80+AB80+AF80+AJ80+AN80+AR80+AV80</f>
        <v>114.75</v>
      </c>
      <c r="BA80" s="77" t="s">
        <v>4</v>
      </c>
    </row>
    <row r="81" spans="1:53" ht="16" outlineLevel="1">
      <c r="A81" s="66" t="s">
        <v>78</v>
      </c>
      <c r="B81" s="79">
        <f>B79+B80</f>
        <v>114.75</v>
      </c>
      <c r="C81" s="79"/>
      <c r="D81" s="79">
        <f>D79+D80</f>
        <v>114.75</v>
      </c>
      <c r="E81" s="85" t="s">
        <v>4</v>
      </c>
      <c r="F81" s="79"/>
      <c r="G81" s="79"/>
      <c r="H81" s="79"/>
      <c r="I81" s="85" t="s">
        <v>4</v>
      </c>
      <c r="J81" s="79"/>
      <c r="K81" s="79"/>
      <c r="L81" s="79"/>
      <c r="M81" s="85" t="s">
        <v>4</v>
      </c>
      <c r="N81" s="79"/>
      <c r="O81" s="79"/>
      <c r="P81" s="79"/>
      <c r="Q81" s="85" t="s">
        <v>4</v>
      </c>
      <c r="R81" s="79"/>
      <c r="S81" s="79"/>
      <c r="T81" s="79"/>
      <c r="U81" s="85" t="s">
        <v>4</v>
      </c>
      <c r="V81" s="79"/>
      <c r="W81" s="79"/>
      <c r="X81" s="79"/>
      <c r="Y81" s="85" t="s">
        <v>4</v>
      </c>
      <c r="Z81" s="79"/>
      <c r="AA81" s="79"/>
      <c r="AB81" s="79"/>
      <c r="AC81" s="85" t="s">
        <v>4</v>
      </c>
      <c r="AD81" s="79"/>
      <c r="AE81" s="79"/>
      <c r="AF81" s="79"/>
      <c r="AG81" s="85" t="s">
        <v>4</v>
      </c>
      <c r="AH81" s="79"/>
      <c r="AI81" s="79"/>
      <c r="AJ81" s="79"/>
      <c r="AK81" s="85" t="s">
        <v>4</v>
      </c>
      <c r="AL81" s="79"/>
      <c r="AM81" s="79"/>
      <c r="AN81" s="79"/>
      <c r="AO81" s="85" t="s">
        <v>4</v>
      </c>
      <c r="AP81" s="79"/>
      <c r="AQ81" s="79"/>
      <c r="AR81" s="79"/>
      <c r="AS81" s="85" t="s">
        <v>4</v>
      </c>
      <c r="AT81" s="79"/>
      <c r="AU81" s="79"/>
      <c r="AV81" s="79"/>
      <c r="AW81" s="85" t="s">
        <v>4</v>
      </c>
      <c r="AX81" s="87">
        <f>B81+F81+J81+N81+R81+V81+Z81+AD81+AH81+AL81+AP81+AT81</f>
        <v>114.75</v>
      </c>
      <c r="AY81" s="79"/>
      <c r="AZ81" s="87">
        <f>D81+H81+L81+P81+T81+X81+AB81+AF81+AJ81+AN81+AR81+AV81</f>
        <v>114.75</v>
      </c>
      <c r="BA81" s="85" t="s">
        <v>4</v>
      </c>
    </row>
    <row r="82" spans="1:53" ht="16">
      <c r="A82" s="67" t="s">
        <v>79</v>
      </c>
      <c r="B82" s="79">
        <f>B81</f>
        <v>114.75</v>
      </c>
      <c r="C82" s="79"/>
      <c r="D82" s="79">
        <f>D81</f>
        <v>114.75</v>
      </c>
      <c r="E82" s="85" t="s">
        <v>4</v>
      </c>
      <c r="F82" s="79"/>
      <c r="G82" s="79"/>
      <c r="H82" s="79"/>
      <c r="I82" s="85" t="s">
        <v>4</v>
      </c>
      <c r="J82" s="79"/>
      <c r="K82" s="79"/>
      <c r="L82" s="79"/>
      <c r="M82" s="85" t="s">
        <v>4</v>
      </c>
      <c r="N82" s="79"/>
      <c r="O82" s="79"/>
      <c r="P82" s="79"/>
      <c r="Q82" s="85" t="s">
        <v>4</v>
      </c>
      <c r="R82" s="79"/>
      <c r="S82" s="79"/>
      <c r="T82" s="79"/>
      <c r="U82" s="85" t="s">
        <v>4</v>
      </c>
      <c r="V82" s="79"/>
      <c r="W82" s="79"/>
      <c r="X82" s="79"/>
      <c r="Y82" s="85" t="s">
        <v>4</v>
      </c>
      <c r="Z82" s="79"/>
      <c r="AA82" s="79"/>
      <c r="AB82" s="79"/>
      <c r="AC82" s="85" t="s">
        <v>4</v>
      </c>
      <c r="AD82" s="79"/>
      <c r="AE82" s="79"/>
      <c r="AF82" s="79"/>
      <c r="AG82" s="85" t="s">
        <v>4</v>
      </c>
      <c r="AH82" s="79"/>
      <c r="AI82" s="79"/>
      <c r="AJ82" s="79"/>
      <c r="AK82" s="85" t="s">
        <v>4</v>
      </c>
      <c r="AL82" s="79"/>
      <c r="AM82" s="79"/>
      <c r="AN82" s="79"/>
      <c r="AO82" s="85" t="s">
        <v>4</v>
      </c>
      <c r="AP82" s="79"/>
      <c r="AQ82" s="79"/>
      <c r="AR82" s="79"/>
      <c r="AS82" s="85" t="s">
        <v>4</v>
      </c>
      <c r="AT82" s="79"/>
      <c r="AU82" s="79"/>
      <c r="AV82" s="79"/>
      <c r="AW82" s="85" t="s">
        <v>4</v>
      </c>
      <c r="AX82" s="87">
        <f>B82+F82+J82+N82+R82+V82+Z82+AD82+AH82+AL82+AP82+AT82</f>
        <v>114.75</v>
      </c>
      <c r="AY82" s="79"/>
      <c r="AZ82" s="87">
        <f>D82+H82+L82+P82+T82+X82+AB82+AF82+AJ82+AN82+AR82+AV82</f>
        <v>114.75</v>
      </c>
      <c r="BA82" s="85" t="s">
        <v>4</v>
      </c>
    </row>
    <row r="83" spans="1:49" ht="16">
      <c r="A83" s="63" t="s">
        <v>80</v>
      </c>
      <c r="B83" s="77"/>
      <c r="C83" s="77"/>
      <c r="D83" s="77"/>
      <c r="E83" s="77" t="s">
        <v>4</v>
      </c>
      <c r="F83" s="77"/>
      <c r="G83" s="77"/>
      <c r="H83" s="77"/>
      <c r="I83" s="77" t="s">
        <v>4</v>
      </c>
      <c r="J83" s="77"/>
      <c r="K83" s="77"/>
      <c r="L83" s="77"/>
      <c r="M83" s="77" t="s">
        <v>4</v>
      </c>
      <c r="N83" s="77"/>
      <c r="O83" s="77"/>
      <c r="P83" s="77"/>
      <c r="Q83" s="77" t="s">
        <v>4</v>
      </c>
      <c r="R83" s="77"/>
      <c r="S83" s="77"/>
      <c r="T83" s="77"/>
      <c r="U83" s="77" t="s">
        <v>4</v>
      </c>
      <c r="V83" s="77"/>
      <c r="W83" s="77"/>
      <c r="X83" s="77"/>
      <c r="Y83" s="77" t="s">
        <v>4</v>
      </c>
      <c r="Z83" s="77"/>
      <c r="AA83" s="77"/>
      <c r="AB83" s="77"/>
      <c r="AC83" s="77" t="s">
        <v>4</v>
      </c>
      <c r="AD83" s="77"/>
      <c r="AE83" s="77"/>
      <c r="AF83" s="77"/>
      <c r="AG83" s="77" t="s">
        <v>4</v>
      </c>
      <c r="AH83" s="77"/>
      <c r="AI83" s="77"/>
      <c r="AJ83" s="77"/>
      <c r="AK83" s="77" t="s">
        <v>4</v>
      </c>
      <c r="AL83" s="77"/>
      <c r="AM83" s="77"/>
      <c r="AN83" s="77"/>
      <c r="AO83" s="77" t="s">
        <v>4</v>
      </c>
      <c r="AP83" s="77"/>
      <c r="AQ83" s="77"/>
      <c r="AR83" s="77"/>
      <c r="AS83" s="77" t="s">
        <v>4</v>
      </c>
      <c r="AT83" s="77"/>
      <c r="AU83" s="77"/>
      <c r="AV83" s="77"/>
      <c r="AW83" s="77" t="s">
        <v>4</v>
      </c>
    </row>
    <row r="84" spans="1:53" ht="16" outlineLevel="1">
      <c r="A84" s="64" t="s">
        <v>81</v>
      </c>
      <c r="B84" s="78">
        <v>573.26</v>
      </c>
      <c r="C84" s="78">
        <v>730.42</v>
      </c>
      <c r="D84" s="82">
        <v>-157.15999999999997</v>
      </c>
      <c r="E84" s="83">
        <v>0.7848</v>
      </c>
      <c r="F84" s="77"/>
      <c r="G84" s="78">
        <v>730.42</v>
      </c>
      <c r="H84" s="82">
        <v>-730.42</v>
      </c>
      <c r="I84" s="83">
        <v>0</v>
      </c>
      <c r="J84" s="77"/>
      <c r="K84" s="78">
        <v>730.42</v>
      </c>
      <c r="L84" s="82">
        <v>-730.42</v>
      </c>
      <c r="M84" s="83">
        <v>0</v>
      </c>
      <c r="N84" s="77"/>
      <c r="O84" s="78">
        <v>730.42</v>
      </c>
      <c r="P84" s="82">
        <v>-730.42</v>
      </c>
      <c r="Q84" s="83">
        <v>0</v>
      </c>
      <c r="R84" s="77"/>
      <c r="S84" s="78">
        <v>730.42</v>
      </c>
      <c r="T84" s="82">
        <v>-730.42</v>
      </c>
      <c r="U84" s="83">
        <v>0</v>
      </c>
      <c r="V84" s="77"/>
      <c r="W84" s="78">
        <v>730.42</v>
      </c>
      <c r="X84" s="82">
        <v>-730.42</v>
      </c>
      <c r="Y84" s="83">
        <v>0</v>
      </c>
      <c r="Z84" s="77"/>
      <c r="AA84" s="78">
        <v>730.42</v>
      </c>
      <c r="AB84" s="82">
        <v>-730.42</v>
      </c>
      <c r="AC84" s="83">
        <v>0</v>
      </c>
      <c r="AD84" s="77"/>
      <c r="AE84" s="78">
        <v>730.42</v>
      </c>
      <c r="AF84" s="82">
        <v>-730.42</v>
      </c>
      <c r="AG84" s="83">
        <v>0</v>
      </c>
      <c r="AH84" s="77"/>
      <c r="AI84" s="78">
        <v>730.42</v>
      </c>
      <c r="AJ84" s="82">
        <v>-730.42</v>
      </c>
      <c r="AK84" s="83">
        <v>0</v>
      </c>
      <c r="AL84" s="77"/>
      <c r="AM84" s="78">
        <v>730.42</v>
      </c>
      <c r="AN84" s="82">
        <v>-730.42</v>
      </c>
      <c r="AO84" s="83">
        <v>0</v>
      </c>
      <c r="AP84" s="77"/>
      <c r="AQ84" s="78">
        <v>730.42</v>
      </c>
      <c r="AR84" s="82">
        <v>-730.42</v>
      </c>
      <c r="AS84" s="83">
        <v>0</v>
      </c>
      <c r="AT84" s="77"/>
      <c r="AU84" s="78">
        <v>730.38</v>
      </c>
      <c r="AV84" s="82">
        <v>-730.38</v>
      </c>
      <c r="AW84" s="83">
        <v>0</v>
      </c>
      <c r="AX84" s="78">
        <f>B84+F84+J84+N84+R84+V84+Z84+AD84+AH84+AL84+AP84+AT84</f>
        <v>573.26</v>
      </c>
      <c r="AY84" s="78">
        <f>C84+G84+K84+O84+S84+W84+AA84+AE84+AI84+AM84+AQ84+AU84</f>
        <v>8765.0</v>
      </c>
      <c r="AZ84" s="82">
        <f>D84+H84+L84+P84+T84+X84+AB84+AF84+AJ84+AN84+AR84+AV84</f>
        <v>-8191.740000000001</v>
      </c>
      <c r="BA84" s="83">
        <v>0.0654</v>
      </c>
    </row>
    <row r="85" spans="1:53" ht="16" outlineLevel="1">
      <c r="A85" s="64" t="s">
        <v>82</v>
      </c>
      <c r="B85" s="78">
        <v>2845.78</v>
      </c>
      <c r="C85" s="78">
        <v>2921.67</v>
      </c>
      <c r="D85" s="82">
        <v>-75.88999999999987</v>
      </c>
      <c r="E85" s="83">
        <v>0.9740000000000001</v>
      </c>
      <c r="F85" s="77"/>
      <c r="G85" s="78">
        <v>2921.67</v>
      </c>
      <c r="H85" s="82">
        <v>-2921.67</v>
      </c>
      <c r="I85" s="83">
        <v>0</v>
      </c>
      <c r="J85" s="77"/>
      <c r="K85" s="78">
        <v>2921.67</v>
      </c>
      <c r="L85" s="82">
        <v>-2921.67</v>
      </c>
      <c r="M85" s="83">
        <v>0</v>
      </c>
      <c r="N85" s="77"/>
      <c r="O85" s="78">
        <v>2921.67</v>
      </c>
      <c r="P85" s="82">
        <v>-2921.67</v>
      </c>
      <c r="Q85" s="83">
        <v>0</v>
      </c>
      <c r="R85" s="77"/>
      <c r="S85" s="78">
        <v>2921.67</v>
      </c>
      <c r="T85" s="82">
        <v>-2921.67</v>
      </c>
      <c r="U85" s="83">
        <v>0</v>
      </c>
      <c r="V85" s="77"/>
      <c r="W85" s="78">
        <v>2921.67</v>
      </c>
      <c r="X85" s="82">
        <v>-2921.67</v>
      </c>
      <c r="Y85" s="83">
        <v>0</v>
      </c>
      <c r="Z85" s="77"/>
      <c r="AA85" s="78">
        <v>2921.67</v>
      </c>
      <c r="AB85" s="82">
        <v>-2921.67</v>
      </c>
      <c r="AC85" s="83">
        <v>0</v>
      </c>
      <c r="AD85" s="77"/>
      <c r="AE85" s="78">
        <v>2921.67</v>
      </c>
      <c r="AF85" s="82">
        <v>-2921.67</v>
      </c>
      <c r="AG85" s="83">
        <v>0</v>
      </c>
      <c r="AH85" s="77"/>
      <c r="AI85" s="78">
        <v>2921.67</v>
      </c>
      <c r="AJ85" s="82">
        <v>-2921.67</v>
      </c>
      <c r="AK85" s="83">
        <v>0</v>
      </c>
      <c r="AL85" s="77"/>
      <c r="AM85" s="78">
        <v>2921.67</v>
      </c>
      <c r="AN85" s="82">
        <v>-2921.67</v>
      </c>
      <c r="AO85" s="83">
        <v>0</v>
      </c>
      <c r="AP85" s="77"/>
      <c r="AQ85" s="78">
        <v>2921.67</v>
      </c>
      <c r="AR85" s="82">
        <v>-2921.67</v>
      </c>
      <c r="AS85" s="83">
        <v>0</v>
      </c>
      <c r="AT85" s="77"/>
      <c r="AU85" s="78">
        <v>2921.63</v>
      </c>
      <c r="AV85" s="82">
        <v>-2921.63</v>
      </c>
      <c r="AW85" s="83">
        <v>0</v>
      </c>
      <c r="AX85" s="78">
        <f>B85+F85+J85+N85+R85+V85+Z85+AD85+AH85+AL85+AP85+AT85</f>
        <v>2845.78</v>
      </c>
      <c r="AY85" s="78">
        <f>C85+G85+K85+O85+S85+W85+AA85+AE85+AI85+AM85+AQ85+AU85</f>
        <v>35059.99999999999</v>
      </c>
      <c r="AZ85" s="82">
        <f>D85+H85+L85+P85+T85+X85+AB85+AF85+AJ85+AN85+AR85+AV85</f>
        <v>-32214.219999999998</v>
      </c>
      <c r="BA85" s="83">
        <v>0.0812</v>
      </c>
    </row>
    <row r="86" spans="1:53" ht="16" outlineLevel="1">
      <c r="A86" s="64" t="s">
        <v>83</v>
      </c>
      <c r="B86" s="77"/>
      <c r="C86" s="77"/>
      <c r="D86" s="77"/>
      <c r="E86" s="77" t="s">
        <v>4</v>
      </c>
      <c r="F86" s="77"/>
      <c r="G86" s="77"/>
      <c r="H86" s="77"/>
      <c r="I86" s="77" t="s">
        <v>4</v>
      </c>
      <c r="J86" s="77"/>
      <c r="K86" s="77"/>
      <c r="L86" s="77"/>
      <c r="M86" s="77" t="s">
        <v>4</v>
      </c>
      <c r="N86" s="77"/>
      <c r="O86" s="77"/>
      <c r="P86" s="77"/>
      <c r="Q86" s="77" t="s">
        <v>4</v>
      </c>
      <c r="R86" s="77"/>
      <c r="S86" s="77"/>
      <c r="T86" s="77"/>
      <c r="U86" s="77" t="s">
        <v>4</v>
      </c>
      <c r="V86" s="77"/>
      <c r="W86" s="77"/>
      <c r="X86" s="77"/>
      <c r="Y86" s="77" t="s">
        <v>4</v>
      </c>
      <c r="Z86" s="77"/>
      <c r="AA86" s="77"/>
      <c r="AB86" s="77"/>
      <c r="AC86" s="77" t="s">
        <v>4</v>
      </c>
      <c r="AD86" s="77"/>
      <c r="AE86" s="77"/>
      <c r="AF86" s="77"/>
      <c r="AG86" s="77" t="s">
        <v>4</v>
      </c>
      <c r="AH86" s="77"/>
      <c r="AI86" s="77"/>
      <c r="AJ86" s="77"/>
      <c r="AK86" s="77" t="s">
        <v>4</v>
      </c>
      <c r="AL86" s="77"/>
      <c r="AM86" s="77"/>
      <c r="AN86" s="77"/>
      <c r="AO86" s="77" t="s">
        <v>4</v>
      </c>
      <c r="AP86" s="77"/>
      <c r="AQ86" s="77"/>
      <c r="AR86" s="77"/>
      <c r="AS86" s="77" t="s">
        <v>4</v>
      </c>
      <c r="AT86" s="77"/>
      <c r="AU86" s="77"/>
      <c r="AV86" s="77"/>
      <c r="AW86" s="77" t="s">
        <v>4</v>
      </c>
      <c r="AX86" s="77"/>
      <c r="AY86" s="77"/>
      <c r="AZ86" s="77"/>
      <c r="BA86" s="77" t="s">
        <v>4</v>
      </c>
    </row>
    <row r="87" spans="1:53" ht="16" outlineLevel="2">
      <c r="A87" s="65" t="s">
        <v>84</v>
      </c>
      <c r="B87" s="77"/>
      <c r="C87" s="77"/>
      <c r="D87" s="77"/>
      <c r="E87" s="77" t="s">
        <v>4</v>
      </c>
      <c r="F87" s="77"/>
      <c r="G87" s="77"/>
      <c r="H87" s="77"/>
      <c r="I87" s="77" t="s">
        <v>4</v>
      </c>
      <c r="J87" s="77"/>
      <c r="K87" s="77"/>
      <c r="L87" s="77"/>
      <c r="M87" s="77" t="s">
        <v>4</v>
      </c>
      <c r="N87" s="77"/>
      <c r="O87" s="77"/>
      <c r="P87" s="77"/>
      <c r="Q87" s="77" t="s">
        <v>4</v>
      </c>
      <c r="R87" s="77"/>
      <c r="S87" s="77"/>
      <c r="T87" s="77"/>
      <c r="U87" s="77" t="s">
        <v>4</v>
      </c>
      <c r="V87" s="77"/>
      <c r="W87" s="77"/>
      <c r="X87" s="77"/>
      <c r="Y87" s="77" t="s">
        <v>4</v>
      </c>
      <c r="Z87" s="77"/>
      <c r="AA87" s="77"/>
      <c r="AB87" s="77"/>
      <c r="AC87" s="77" t="s">
        <v>4</v>
      </c>
      <c r="AD87" s="77"/>
      <c r="AE87" s="77"/>
      <c r="AF87" s="77"/>
      <c r="AG87" s="77" t="s">
        <v>4</v>
      </c>
      <c r="AH87" s="77"/>
      <c r="AI87" s="77"/>
      <c r="AJ87" s="77"/>
      <c r="AK87" s="77" t="s">
        <v>4</v>
      </c>
      <c r="AL87" s="77"/>
      <c r="AM87" s="77"/>
      <c r="AN87" s="77"/>
      <c r="AO87" s="77" t="s">
        <v>4</v>
      </c>
      <c r="AP87" s="77"/>
      <c r="AQ87" s="77"/>
      <c r="AR87" s="77"/>
      <c r="AS87" s="77" t="s">
        <v>4</v>
      </c>
      <c r="AT87" s="77"/>
      <c r="AU87" s="77"/>
      <c r="AV87" s="77"/>
      <c r="AW87" s="77" t="s">
        <v>4</v>
      </c>
      <c r="AX87" s="77"/>
      <c r="AY87" s="77"/>
      <c r="AZ87" s="77"/>
      <c r="BA87" s="77" t="s">
        <v>4</v>
      </c>
    </row>
    <row r="88" spans="1:53" ht="16" outlineLevel="3">
      <c r="A88" s="68" t="s">
        <v>85</v>
      </c>
      <c r="B88" s="77"/>
      <c r="C88" s="77"/>
      <c r="D88" s="77"/>
      <c r="E88" s="77" t="s">
        <v>4</v>
      </c>
      <c r="F88" s="78">
        <v>8073.34</v>
      </c>
      <c r="G88" s="77"/>
      <c r="H88" s="78">
        <v>8073.34</v>
      </c>
      <c r="I88" s="77" t="s">
        <v>4</v>
      </c>
      <c r="J88" s="77"/>
      <c r="K88" s="77"/>
      <c r="L88" s="77"/>
      <c r="M88" s="77" t="s">
        <v>4</v>
      </c>
      <c r="N88" s="77"/>
      <c r="O88" s="77"/>
      <c r="P88" s="77"/>
      <c r="Q88" s="77" t="s">
        <v>4</v>
      </c>
      <c r="R88" s="77"/>
      <c r="S88" s="77"/>
      <c r="T88" s="77"/>
      <c r="U88" s="77" t="s">
        <v>4</v>
      </c>
      <c r="V88" s="77"/>
      <c r="W88" s="77"/>
      <c r="X88" s="77"/>
      <c r="Y88" s="77" t="s">
        <v>4</v>
      </c>
      <c r="Z88" s="77"/>
      <c r="AA88" s="77"/>
      <c r="AB88" s="77"/>
      <c r="AC88" s="77" t="s">
        <v>4</v>
      </c>
      <c r="AD88" s="77"/>
      <c r="AE88" s="77"/>
      <c r="AF88" s="77"/>
      <c r="AG88" s="77" t="s">
        <v>4</v>
      </c>
      <c r="AH88" s="77"/>
      <c r="AI88" s="77"/>
      <c r="AJ88" s="77"/>
      <c r="AK88" s="77" t="s">
        <v>4</v>
      </c>
      <c r="AL88" s="77"/>
      <c r="AM88" s="77"/>
      <c r="AN88" s="77"/>
      <c r="AO88" s="77" t="s">
        <v>4</v>
      </c>
      <c r="AP88" s="77"/>
      <c r="AQ88" s="77"/>
      <c r="AR88" s="77"/>
      <c r="AS88" s="77" t="s">
        <v>4</v>
      </c>
      <c r="AT88" s="77"/>
      <c r="AU88" s="77"/>
      <c r="AV88" s="77"/>
      <c r="AW88" s="77" t="s">
        <v>4</v>
      </c>
      <c r="AX88" s="78">
        <f>B88+F88+J88+N88+R88+V88+Z88+AD88+AH88+AL88+AP88+AT88</f>
        <v>8073.34</v>
      </c>
      <c r="AY88" s="77"/>
      <c r="AZ88" s="78">
        <f>D88+H88+L88+P88+T88+X88+AB88+AF88+AJ88+AN88+AR88+AV88</f>
        <v>8073.34</v>
      </c>
      <c r="BA88" s="77" t="s">
        <v>4</v>
      </c>
    </row>
    <row r="89" spans="1:53" ht="16" outlineLevel="2">
      <c r="A89" s="69" t="s">
        <v>86</v>
      </c>
      <c r="B89" s="79"/>
      <c r="C89" s="79"/>
      <c r="D89" s="79"/>
      <c r="E89" s="85" t="s">
        <v>4</v>
      </c>
      <c r="F89" s="79">
        <f>F87+F88</f>
        <v>8073.34</v>
      </c>
      <c r="G89" s="79"/>
      <c r="H89" s="79">
        <f>H87+H88</f>
        <v>8073.34</v>
      </c>
      <c r="I89" s="85" t="s">
        <v>4</v>
      </c>
      <c r="J89" s="79"/>
      <c r="K89" s="79"/>
      <c r="L89" s="79"/>
      <c r="M89" s="85" t="s">
        <v>4</v>
      </c>
      <c r="N89" s="79"/>
      <c r="O89" s="79"/>
      <c r="P89" s="79"/>
      <c r="Q89" s="85" t="s">
        <v>4</v>
      </c>
      <c r="R89" s="79"/>
      <c r="S89" s="79"/>
      <c r="T89" s="79"/>
      <c r="U89" s="85" t="s">
        <v>4</v>
      </c>
      <c r="V89" s="79"/>
      <c r="W89" s="79"/>
      <c r="X89" s="79"/>
      <c r="Y89" s="85" t="s">
        <v>4</v>
      </c>
      <c r="Z89" s="79"/>
      <c r="AA89" s="79"/>
      <c r="AB89" s="79"/>
      <c r="AC89" s="85" t="s">
        <v>4</v>
      </c>
      <c r="AD89" s="79"/>
      <c r="AE89" s="79"/>
      <c r="AF89" s="79"/>
      <c r="AG89" s="85" t="s">
        <v>4</v>
      </c>
      <c r="AH89" s="79"/>
      <c r="AI89" s="79"/>
      <c r="AJ89" s="79"/>
      <c r="AK89" s="85" t="s">
        <v>4</v>
      </c>
      <c r="AL89" s="79"/>
      <c r="AM89" s="79"/>
      <c r="AN89" s="79"/>
      <c r="AO89" s="85" t="s">
        <v>4</v>
      </c>
      <c r="AP89" s="79"/>
      <c r="AQ89" s="79"/>
      <c r="AR89" s="79"/>
      <c r="AS89" s="85" t="s">
        <v>4</v>
      </c>
      <c r="AT89" s="79"/>
      <c r="AU89" s="79"/>
      <c r="AV89" s="79"/>
      <c r="AW89" s="85" t="s">
        <v>4</v>
      </c>
      <c r="AX89" s="87">
        <f>B89+F89+J89+N89+R89+V89+Z89+AD89+AH89+AL89+AP89+AT89</f>
        <v>8073.34</v>
      </c>
      <c r="AY89" s="79"/>
      <c r="AZ89" s="87">
        <f>D89+H89+L89+P89+T89+X89+AB89+AF89+AJ89+AN89+AR89+AV89</f>
        <v>8073.34</v>
      </c>
      <c r="BA89" s="85" t="s">
        <v>4</v>
      </c>
    </row>
    <row r="90" spans="1:53" ht="16" outlineLevel="1">
      <c r="A90" s="66" t="s">
        <v>87</v>
      </c>
      <c r="B90" s="79"/>
      <c r="C90" s="79"/>
      <c r="D90" s="79"/>
      <c r="E90" s="85" t="s">
        <v>4</v>
      </c>
      <c r="F90" s="79">
        <f>F86+F89</f>
        <v>8073.34</v>
      </c>
      <c r="G90" s="79"/>
      <c r="H90" s="79">
        <f>H86+H89</f>
        <v>8073.34</v>
      </c>
      <c r="I90" s="85" t="s">
        <v>4</v>
      </c>
      <c r="J90" s="79"/>
      <c r="K90" s="79"/>
      <c r="L90" s="79"/>
      <c r="M90" s="85" t="s">
        <v>4</v>
      </c>
      <c r="N90" s="79"/>
      <c r="O90" s="79"/>
      <c r="P90" s="79"/>
      <c r="Q90" s="85" t="s">
        <v>4</v>
      </c>
      <c r="R90" s="79"/>
      <c r="S90" s="79"/>
      <c r="T90" s="79"/>
      <c r="U90" s="85" t="s">
        <v>4</v>
      </c>
      <c r="V90" s="79"/>
      <c r="W90" s="79"/>
      <c r="X90" s="79"/>
      <c r="Y90" s="85" t="s">
        <v>4</v>
      </c>
      <c r="Z90" s="79"/>
      <c r="AA90" s="79"/>
      <c r="AB90" s="79"/>
      <c r="AC90" s="85" t="s">
        <v>4</v>
      </c>
      <c r="AD90" s="79"/>
      <c r="AE90" s="79"/>
      <c r="AF90" s="79"/>
      <c r="AG90" s="85" t="s">
        <v>4</v>
      </c>
      <c r="AH90" s="79"/>
      <c r="AI90" s="79"/>
      <c r="AJ90" s="79"/>
      <c r="AK90" s="85" t="s">
        <v>4</v>
      </c>
      <c r="AL90" s="79"/>
      <c r="AM90" s="79"/>
      <c r="AN90" s="79"/>
      <c r="AO90" s="85" t="s">
        <v>4</v>
      </c>
      <c r="AP90" s="79"/>
      <c r="AQ90" s="79"/>
      <c r="AR90" s="79"/>
      <c r="AS90" s="85" t="s">
        <v>4</v>
      </c>
      <c r="AT90" s="79"/>
      <c r="AU90" s="79"/>
      <c r="AV90" s="79"/>
      <c r="AW90" s="85" t="s">
        <v>4</v>
      </c>
      <c r="AX90" s="87">
        <f>B90+F90+J90+N90+R90+V90+Z90+AD90+AH90+AL90+AP90+AT90</f>
        <v>8073.34</v>
      </c>
      <c r="AY90" s="79"/>
      <c r="AZ90" s="87">
        <f>D90+H90+L90+P90+T90+X90+AB90+AF90+AJ90+AN90+AR90+AV90</f>
        <v>8073.34</v>
      </c>
      <c r="BA90" s="85" t="s">
        <v>4</v>
      </c>
    </row>
    <row r="91" spans="1:53" ht="16" outlineLevel="1">
      <c r="A91" s="64" t="s">
        <v>88</v>
      </c>
      <c r="B91" s="77"/>
      <c r="C91" s="77"/>
      <c r="D91" s="77"/>
      <c r="E91" s="77" t="s">
        <v>4</v>
      </c>
      <c r="F91" s="77"/>
      <c r="G91" s="77"/>
      <c r="H91" s="77"/>
      <c r="I91" s="77" t="s">
        <v>4</v>
      </c>
      <c r="J91" s="77"/>
      <c r="K91" s="77"/>
      <c r="L91" s="77"/>
      <c r="M91" s="77" t="s">
        <v>4</v>
      </c>
      <c r="N91" s="77"/>
      <c r="O91" s="77"/>
      <c r="P91" s="77"/>
      <c r="Q91" s="77" t="s">
        <v>4</v>
      </c>
      <c r="R91" s="77"/>
      <c r="S91" s="77"/>
      <c r="T91" s="77"/>
      <c r="U91" s="77" t="s">
        <v>4</v>
      </c>
      <c r="V91" s="77"/>
      <c r="W91" s="77"/>
      <c r="X91" s="77"/>
      <c r="Y91" s="77" t="s">
        <v>4</v>
      </c>
      <c r="Z91" s="77"/>
      <c r="AA91" s="77"/>
      <c r="AB91" s="77"/>
      <c r="AC91" s="77" t="s">
        <v>4</v>
      </c>
      <c r="AD91" s="77"/>
      <c r="AE91" s="77"/>
      <c r="AF91" s="77"/>
      <c r="AG91" s="77" t="s">
        <v>4</v>
      </c>
      <c r="AH91" s="77"/>
      <c r="AI91" s="77"/>
      <c r="AJ91" s="77"/>
      <c r="AK91" s="77" t="s">
        <v>4</v>
      </c>
      <c r="AL91" s="77"/>
      <c r="AM91" s="77"/>
      <c r="AN91" s="77"/>
      <c r="AO91" s="77" t="s">
        <v>4</v>
      </c>
      <c r="AP91" s="77"/>
      <c r="AQ91" s="77"/>
      <c r="AR91" s="77"/>
      <c r="AS91" s="77" t="s">
        <v>4</v>
      </c>
      <c r="AT91" s="77"/>
      <c r="AU91" s="77"/>
      <c r="AV91" s="77"/>
      <c r="AW91" s="77" t="s">
        <v>4</v>
      </c>
      <c r="AX91" s="77"/>
      <c r="AY91" s="77"/>
      <c r="AZ91" s="77"/>
      <c r="BA91" s="77" t="s">
        <v>4</v>
      </c>
    </row>
    <row r="92" spans="1:53" ht="16" outlineLevel="2">
      <c r="A92" s="65" t="s">
        <v>51</v>
      </c>
      <c r="B92" s="78">
        <v>308.25</v>
      </c>
      <c r="C92" s="77"/>
      <c r="D92" s="78">
        <v>308.25</v>
      </c>
      <c r="E92" s="77" t="s">
        <v>4</v>
      </c>
      <c r="F92" s="77"/>
      <c r="G92" s="77"/>
      <c r="H92" s="77"/>
      <c r="I92" s="77" t="s">
        <v>4</v>
      </c>
      <c r="J92" s="77"/>
      <c r="K92" s="77"/>
      <c r="L92" s="77"/>
      <c r="M92" s="77" t="s">
        <v>4</v>
      </c>
      <c r="N92" s="77"/>
      <c r="O92" s="77"/>
      <c r="P92" s="77"/>
      <c r="Q92" s="77" t="s">
        <v>4</v>
      </c>
      <c r="R92" s="77"/>
      <c r="S92" s="77"/>
      <c r="T92" s="77"/>
      <c r="U92" s="77" t="s">
        <v>4</v>
      </c>
      <c r="V92" s="77"/>
      <c r="W92" s="77"/>
      <c r="X92" s="77"/>
      <c r="Y92" s="77" t="s">
        <v>4</v>
      </c>
      <c r="Z92" s="77"/>
      <c r="AA92" s="77"/>
      <c r="AB92" s="77"/>
      <c r="AC92" s="77" t="s">
        <v>4</v>
      </c>
      <c r="AD92" s="77"/>
      <c r="AE92" s="77"/>
      <c r="AF92" s="77"/>
      <c r="AG92" s="77" t="s">
        <v>4</v>
      </c>
      <c r="AH92" s="77"/>
      <c r="AI92" s="77"/>
      <c r="AJ92" s="77"/>
      <c r="AK92" s="77" t="s">
        <v>4</v>
      </c>
      <c r="AL92" s="77"/>
      <c r="AM92" s="77"/>
      <c r="AN92" s="77"/>
      <c r="AO92" s="77" t="s">
        <v>4</v>
      </c>
      <c r="AP92" s="77"/>
      <c r="AQ92" s="77"/>
      <c r="AR92" s="77"/>
      <c r="AS92" s="77" t="s">
        <v>4</v>
      </c>
      <c r="AT92" s="77"/>
      <c r="AU92" s="77"/>
      <c r="AV92" s="77"/>
      <c r="AW92" s="77" t="s">
        <v>4</v>
      </c>
      <c r="AX92" s="78">
        <f>B92+F92+J92+N92+R92+V92+Z92+AD92+AH92+AL92+AP92+AT92</f>
        <v>308.25</v>
      </c>
      <c r="AY92" s="77"/>
      <c r="AZ92" s="78">
        <f>D92+H92+L92+P92+T92+X92+AB92+AF92+AJ92+AN92+AR92+AV92</f>
        <v>308.25</v>
      </c>
      <c r="BA92" s="77" t="s">
        <v>4</v>
      </c>
    </row>
    <row r="93" spans="1:53" ht="16" outlineLevel="2">
      <c r="A93" s="65" t="s">
        <v>89</v>
      </c>
      <c r="B93" s="77"/>
      <c r="C93" s="78">
        <v>1658.33</v>
      </c>
      <c r="D93" s="82">
        <v>-1658.33</v>
      </c>
      <c r="E93" s="83">
        <v>0</v>
      </c>
      <c r="F93" s="77"/>
      <c r="G93" s="78">
        <v>1658.33</v>
      </c>
      <c r="H93" s="82">
        <v>-1658.33</v>
      </c>
      <c r="I93" s="83">
        <v>0</v>
      </c>
      <c r="J93" s="77"/>
      <c r="K93" s="78">
        <v>1658.33</v>
      </c>
      <c r="L93" s="82">
        <v>-1658.33</v>
      </c>
      <c r="M93" s="83">
        <v>0</v>
      </c>
      <c r="N93" s="77"/>
      <c r="O93" s="78">
        <v>1658.33</v>
      </c>
      <c r="P93" s="82">
        <v>-1658.33</v>
      </c>
      <c r="Q93" s="83">
        <v>0</v>
      </c>
      <c r="R93" s="77"/>
      <c r="S93" s="78">
        <v>1658.33</v>
      </c>
      <c r="T93" s="82">
        <v>-1658.33</v>
      </c>
      <c r="U93" s="83">
        <v>0</v>
      </c>
      <c r="V93" s="77"/>
      <c r="W93" s="78">
        <v>1658.33</v>
      </c>
      <c r="X93" s="82">
        <v>-1658.33</v>
      </c>
      <c r="Y93" s="83">
        <v>0</v>
      </c>
      <c r="Z93" s="77"/>
      <c r="AA93" s="78">
        <v>1658.33</v>
      </c>
      <c r="AB93" s="82">
        <v>-1658.33</v>
      </c>
      <c r="AC93" s="83">
        <v>0</v>
      </c>
      <c r="AD93" s="77"/>
      <c r="AE93" s="78">
        <v>1658.33</v>
      </c>
      <c r="AF93" s="82">
        <v>-1658.33</v>
      </c>
      <c r="AG93" s="83">
        <v>0</v>
      </c>
      <c r="AH93" s="77"/>
      <c r="AI93" s="78">
        <v>1658.33</v>
      </c>
      <c r="AJ93" s="82">
        <v>-1658.33</v>
      </c>
      <c r="AK93" s="83">
        <v>0</v>
      </c>
      <c r="AL93" s="77"/>
      <c r="AM93" s="78">
        <v>1658.33</v>
      </c>
      <c r="AN93" s="82">
        <v>-1658.33</v>
      </c>
      <c r="AO93" s="83">
        <v>0</v>
      </c>
      <c r="AP93" s="77"/>
      <c r="AQ93" s="78">
        <v>1658.33</v>
      </c>
      <c r="AR93" s="82">
        <v>-1658.33</v>
      </c>
      <c r="AS93" s="83">
        <v>0</v>
      </c>
      <c r="AT93" s="77"/>
      <c r="AU93" s="78">
        <v>1658.37</v>
      </c>
      <c r="AV93" s="82">
        <v>-1658.37</v>
      </c>
      <c r="AW93" s="83">
        <v>0</v>
      </c>
      <c r="AX93" s="77"/>
      <c r="AY93" s="78">
        <f>C93+G93+K93+O93+S93+W93+AA93+AE93+AI93+AM93+AQ93+AU93</f>
        <v>19899.999999999996</v>
      </c>
      <c r="AZ93" s="82">
        <f>D93+H93+L93+P93+T93+X93+AB93+AF93+AJ93+AN93+AR93+AV93</f>
        <v>-19899.999999999996</v>
      </c>
      <c r="BA93" s="89">
        <f>IFERROR(E93+I93+M93+Q93+U93+Y93+AC93+AG93+AK93+AO93+AS93+AW93,"")</f>
        <v>0.0</v>
      </c>
    </row>
    <row r="94" spans="1:53" ht="16" outlineLevel="1">
      <c r="A94" s="66" t="s">
        <v>90</v>
      </c>
      <c r="B94" s="79">
        <f>B91+B92+B93</f>
        <v>308.25</v>
      </c>
      <c r="C94" s="79">
        <f>C91+C92+C93</f>
        <v>1658.33</v>
      </c>
      <c r="D94" s="80">
        <f>D91+D92+D93</f>
        <v>-1350.08</v>
      </c>
      <c r="E94" s="84">
        <v>0.1859</v>
      </c>
      <c r="F94" s="79"/>
      <c r="G94" s="79">
        <f>G91+G92+G93</f>
        <v>1658.33</v>
      </c>
      <c r="H94" s="80">
        <f>H91+H92+H93</f>
        <v>-1658.33</v>
      </c>
      <c r="I94" s="84">
        <v>0</v>
      </c>
      <c r="J94" s="79"/>
      <c r="K94" s="79">
        <f>K91+K92+K93</f>
        <v>1658.33</v>
      </c>
      <c r="L94" s="80">
        <f>L91+L92+L93</f>
        <v>-1658.33</v>
      </c>
      <c r="M94" s="84">
        <v>0</v>
      </c>
      <c r="N94" s="79"/>
      <c r="O94" s="79">
        <f>O91+O92+O93</f>
        <v>1658.33</v>
      </c>
      <c r="P94" s="80">
        <f>P91+P92+P93</f>
        <v>-1658.33</v>
      </c>
      <c r="Q94" s="84">
        <v>0</v>
      </c>
      <c r="R94" s="79"/>
      <c r="S94" s="79">
        <f>S91+S92+S93</f>
        <v>1658.33</v>
      </c>
      <c r="T94" s="80">
        <f>T91+T92+T93</f>
        <v>-1658.33</v>
      </c>
      <c r="U94" s="84">
        <v>0</v>
      </c>
      <c r="V94" s="79"/>
      <c r="W94" s="79">
        <f>W91+W92+W93</f>
        <v>1658.33</v>
      </c>
      <c r="X94" s="80">
        <f>X91+X92+X93</f>
        <v>-1658.33</v>
      </c>
      <c r="Y94" s="84">
        <v>0</v>
      </c>
      <c r="Z94" s="79"/>
      <c r="AA94" s="79">
        <f>AA91+AA92+AA93</f>
        <v>1658.33</v>
      </c>
      <c r="AB94" s="80">
        <f>AB91+AB92+AB93</f>
        <v>-1658.33</v>
      </c>
      <c r="AC94" s="84">
        <v>0</v>
      </c>
      <c r="AD94" s="79"/>
      <c r="AE94" s="79">
        <f>AE91+AE92+AE93</f>
        <v>1658.33</v>
      </c>
      <c r="AF94" s="80">
        <f>AF91+AF92+AF93</f>
        <v>-1658.33</v>
      </c>
      <c r="AG94" s="84">
        <v>0</v>
      </c>
      <c r="AH94" s="79"/>
      <c r="AI94" s="79">
        <f>AI91+AI92+AI93</f>
        <v>1658.33</v>
      </c>
      <c r="AJ94" s="80">
        <f>AJ91+AJ92+AJ93</f>
        <v>-1658.33</v>
      </c>
      <c r="AK94" s="84">
        <v>0</v>
      </c>
      <c r="AL94" s="79"/>
      <c r="AM94" s="79">
        <f>AM91+AM92+AM93</f>
        <v>1658.33</v>
      </c>
      <c r="AN94" s="80">
        <f>AN91+AN92+AN93</f>
        <v>-1658.33</v>
      </c>
      <c r="AO94" s="84">
        <v>0</v>
      </c>
      <c r="AP94" s="79"/>
      <c r="AQ94" s="79">
        <f>AQ91+AQ92+AQ93</f>
        <v>1658.33</v>
      </c>
      <c r="AR94" s="80">
        <f>AR91+AR92+AR93</f>
        <v>-1658.33</v>
      </c>
      <c r="AS94" s="84">
        <v>0</v>
      </c>
      <c r="AT94" s="79"/>
      <c r="AU94" s="79">
        <f>AU91+AU92+AU93</f>
        <v>1658.37</v>
      </c>
      <c r="AV94" s="80">
        <f>AV91+AV92+AV93</f>
        <v>-1658.37</v>
      </c>
      <c r="AW94" s="84">
        <v>0</v>
      </c>
      <c r="AX94" s="87">
        <f>B94+F94+J94+N94+R94+V94+Z94+AD94+AH94+AL94+AP94+AT94</f>
        <v>308.25</v>
      </c>
      <c r="AY94" s="87">
        <f>C94+G94+K94+O94+S94+W94+AA94+AE94+AI94+AM94+AQ94+AU94</f>
        <v>19899.999999999996</v>
      </c>
      <c r="AZ94" s="88">
        <f>D94+H94+L94+P94+T94+X94+AB94+AF94+AJ94+AN94+AR94+AV94</f>
        <v>-19591.749999999996</v>
      </c>
      <c r="BA94" s="84">
        <v>0.0155</v>
      </c>
    </row>
    <row r="95" spans="1:53" ht="16" outlineLevel="1">
      <c r="A95" s="64" t="s">
        <v>91</v>
      </c>
      <c r="B95" s="77"/>
      <c r="C95" s="78">
        <v>11066.33</v>
      </c>
      <c r="D95" s="82">
        <v>-11066.33</v>
      </c>
      <c r="E95" s="83">
        <v>0</v>
      </c>
      <c r="F95" s="77"/>
      <c r="G95" s="78">
        <v>11066.33</v>
      </c>
      <c r="H95" s="82">
        <v>-11066.33</v>
      </c>
      <c r="I95" s="83">
        <v>0</v>
      </c>
      <c r="J95" s="77"/>
      <c r="K95" s="78">
        <v>11066.33</v>
      </c>
      <c r="L95" s="82">
        <v>-11066.33</v>
      </c>
      <c r="M95" s="83">
        <v>0</v>
      </c>
      <c r="N95" s="77"/>
      <c r="O95" s="78">
        <v>11066.33</v>
      </c>
      <c r="P95" s="82">
        <v>-11066.33</v>
      </c>
      <c r="Q95" s="83">
        <v>0</v>
      </c>
      <c r="R95" s="77"/>
      <c r="S95" s="78">
        <v>11066.33</v>
      </c>
      <c r="T95" s="82">
        <v>-11066.33</v>
      </c>
      <c r="U95" s="83">
        <v>0</v>
      </c>
      <c r="V95" s="77"/>
      <c r="W95" s="78">
        <v>11066.33</v>
      </c>
      <c r="X95" s="82">
        <v>-11066.33</v>
      </c>
      <c r="Y95" s="83">
        <v>0</v>
      </c>
      <c r="Z95" s="77"/>
      <c r="AA95" s="78">
        <v>11066.33</v>
      </c>
      <c r="AB95" s="82">
        <v>-11066.33</v>
      </c>
      <c r="AC95" s="83">
        <v>0</v>
      </c>
      <c r="AD95" s="77"/>
      <c r="AE95" s="78">
        <v>11066.33</v>
      </c>
      <c r="AF95" s="82">
        <v>-11066.33</v>
      </c>
      <c r="AG95" s="83">
        <v>0</v>
      </c>
      <c r="AH95" s="77"/>
      <c r="AI95" s="78">
        <v>11066.33</v>
      </c>
      <c r="AJ95" s="82">
        <v>-11066.33</v>
      </c>
      <c r="AK95" s="83">
        <v>0</v>
      </c>
      <c r="AL95" s="77"/>
      <c r="AM95" s="78">
        <v>11066.33</v>
      </c>
      <c r="AN95" s="82">
        <v>-11066.33</v>
      </c>
      <c r="AO95" s="83">
        <v>0</v>
      </c>
      <c r="AP95" s="77"/>
      <c r="AQ95" s="78">
        <v>11066.33</v>
      </c>
      <c r="AR95" s="82">
        <v>-11066.33</v>
      </c>
      <c r="AS95" s="83">
        <v>0</v>
      </c>
      <c r="AT95" s="77"/>
      <c r="AU95" s="78">
        <v>11066.37</v>
      </c>
      <c r="AV95" s="82">
        <v>-11066.37</v>
      </c>
      <c r="AW95" s="83">
        <v>0</v>
      </c>
      <c r="AX95" s="77"/>
      <c r="AY95" s="78">
        <f>C95+G95+K95+O95+S95+W95+AA95+AE95+AI95+AM95+AQ95+AU95</f>
        <v>132796.0</v>
      </c>
      <c r="AZ95" s="82">
        <f>D95+H95+L95+P95+T95+X95+AB95+AF95+AJ95+AN95+AR95+AV95</f>
        <v>-132796.0</v>
      </c>
      <c r="BA95" s="89">
        <f>IFERROR(E95+I95+M95+Q95+U95+Y95+AC95+AG95+AK95+AO95+AS95+AW95,"")</f>
        <v>0.0</v>
      </c>
    </row>
    <row r="96" spans="1:53" ht="16" outlineLevel="2">
      <c r="A96" s="65" t="s">
        <v>92</v>
      </c>
      <c r="B96" s="78">
        <v>11899.79</v>
      </c>
      <c r="C96" s="77"/>
      <c r="D96" s="78">
        <v>11899.79</v>
      </c>
      <c r="E96" s="77" t="s">
        <v>4</v>
      </c>
      <c r="F96" s="77"/>
      <c r="G96" s="77"/>
      <c r="H96" s="77"/>
      <c r="I96" s="77" t="s">
        <v>4</v>
      </c>
      <c r="J96" s="77"/>
      <c r="K96" s="77"/>
      <c r="L96" s="77"/>
      <c r="M96" s="77" t="s">
        <v>4</v>
      </c>
      <c r="N96" s="77"/>
      <c r="O96" s="77"/>
      <c r="P96" s="77"/>
      <c r="Q96" s="77" t="s">
        <v>4</v>
      </c>
      <c r="R96" s="77"/>
      <c r="S96" s="77"/>
      <c r="T96" s="77"/>
      <c r="U96" s="77" t="s">
        <v>4</v>
      </c>
      <c r="V96" s="77"/>
      <c r="W96" s="77"/>
      <c r="X96" s="77"/>
      <c r="Y96" s="77" t="s">
        <v>4</v>
      </c>
      <c r="Z96" s="77"/>
      <c r="AA96" s="77"/>
      <c r="AB96" s="77"/>
      <c r="AC96" s="77" t="s">
        <v>4</v>
      </c>
      <c r="AD96" s="77"/>
      <c r="AE96" s="77"/>
      <c r="AF96" s="77"/>
      <c r="AG96" s="77" t="s">
        <v>4</v>
      </c>
      <c r="AH96" s="77"/>
      <c r="AI96" s="77"/>
      <c r="AJ96" s="77"/>
      <c r="AK96" s="77" t="s">
        <v>4</v>
      </c>
      <c r="AL96" s="77"/>
      <c r="AM96" s="77"/>
      <c r="AN96" s="77"/>
      <c r="AO96" s="77" t="s">
        <v>4</v>
      </c>
      <c r="AP96" s="77"/>
      <c r="AQ96" s="77"/>
      <c r="AR96" s="77"/>
      <c r="AS96" s="77" t="s">
        <v>4</v>
      </c>
      <c r="AT96" s="77"/>
      <c r="AU96" s="77"/>
      <c r="AV96" s="77"/>
      <c r="AW96" s="77" t="s">
        <v>4</v>
      </c>
      <c r="AX96" s="78">
        <f>B96+F96+J96+N96+R96+V96+Z96+AD96+AH96+AL96+AP96+AT96</f>
        <v>11899.79</v>
      </c>
      <c r="AY96" s="77"/>
      <c r="AZ96" s="78">
        <f>D96+H96+L96+P96+T96+X96+AB96+AF96+AJ96+AN96+AR96+AV96</f>
        <v>11899.79</v>
      </c>
      <c r="BA96" s="77" t="s">
        <v>4</v>
      </c>
    </row>
    <row r="97" spans="1:53" ht="16" outlineLevel="1">
      <c r="A97" s="66" t="s">
        <v>93</v>
      </c>
      <c r="B97" s="79">
        <f>B95+B96</f>
        <v>11899.79</v>
      </c>
      <c r="C97" s="79">
        <f>C95+C96</f>
        <v>11066.33</v>
      </c>
      <c r="D97" s="79">
        <f>D95+D96</f>
        <v>833.460000000001</v>
      </c>
      <c r="E97" s="84">
        <v>1.0753</v>
      </c>
      <c r="F97" s="79"/>
      <c r="G97" s="79">
        <f>G95+G96</f>
        <v>11066.33</v>
      </c>
      <c r="H97" s="80">
        <f>H95+H96</f>
        <v>-11066.33</v>
      </c>
      <c r="I97" s="84">
        <v>0</v>
      </c>
      <c r="J97" s="79"/>
      <c r="K97" s="79">
        <f>K95+K96</f>
        <v>11066.33</v>
      </c>
      <c r="L97" s="80">
        <f>L95+L96</f>
        <v>-11066.33</v>
      </c>
      <c r="M97" s="84">
        <v>0</v>
      </c>
      <c r="N97" s="79"/>
      <c r="O97" s="79">
        <f>O95+O96</f>
        <v>11066.33</v>
      </c>
      <c r="P97" s="80">
        <f>P95+P96</f>
        <v>-11066.33</v>
      </c>
      <c r="Q97" s="84">
        <v>0</v>
      </c>
      <c r="R97" s="79"/>
      <c r="S97" s="79">
        <f>S95+S96</f>
        <v>11066.33</v>
      </c>
      <c r="T97" s="80">
        <f>T95+T96</f>
        <v>-11066.33</v>
      </c>
      <c r="U97" s="84">
        <v>0</v>
      </c>
      <c r="V97" s="79"/>
      <c r="W97" s="79">
        <f>W95+W96</f>
        <v>11066.33</v>
      </c>
      <c r="X97" s="80">
        <f>X95+X96</f>
        <v>-11066.33</v>
      </c>
      <c r="Y97" s="84">
        <v>0</v>
      </c>
      <c r="Z97" s="79"/>
      <c r="AA97" s="79">
        <f>AA95+AA96</f>
        <v>11066.33</v>
      </c>
      <c r="AB97" s="80">
        <f>AB95+AB96</f>
        <v>-11066.33</v>
      </c>
      <c r="AC97" s="84">
        <v>0</v>
      </c>
      <c r="AD97" s="79"/>
      <c r="AE97" s="79">
        <f>AE95+AE96</f>
        <v>11066.33</v>
      </c>
      <c r="AF97" s="80">
        <f>AF95+AF96</f>
        <v>-11066.33</v>
      </c>
      <c r="AG97" s="84">
        <v>0</v>
      </c>
      <c r="AH97" s="79"/>
      <c r="AI97" s="79">
        <f>AI95+AI96</f>
        <v>11066.33</v>
      </c>
      <c r="AJ97" s="80">
        <f>AJ95+AJ96</f>
        <v>-11066.33</v>
      </c>
      <c r="AK97" s="84">
        <v>0</v>
      </c>
      <c r="AL97" s="79"/>
      <c r="AM97" s="79">
        <f>AM95+AM96</f>
        <v>11066.33</v>
      </c>
      <c r="AN97" s="80">
        <f>AN95+AN96</f>
        <v>-11066.33</v>
      </c>
      <c r="AO97" s="84">
        <v>0</v>
      </c>
      <c r="AP97" s="79"/>
      <c r="AQ97" s="79">
        <f>AQ95+AQ96</f>
        <v>11066.33</v>
      </c>
      <c r="AR97" s="80">
        <f>AR95+AR96</f>
        <v>-11066.33</v>
      </c>
      <c r="AS97" s="84">
        <v>0</v>
      </c>
      <c r="AT97" s="79"/>
      <c r="AU97" s="79">
        <f>AU95+AU96</f>
        <v>11066.37</v>
      </c>
      <c r="AV97" s="80">
        <f>AV95+AV96</f>
        <v>-11066.37</v>
      </c>
      <c r="AW97" s="84">
        <v>0</v>
      </c>
      <c r="AX97" s="87">
        <f>B97+F97+J97+N97+R97+V97+Z97+AD97+AH97+AL97+AP97+AT97</f>
        <v>11899.79</v>
      </c>
      <c r="AY97" s="87">
        <f>C97+G97+K97+O97+S97+W97+AA97+AE97+AI97+AM97+AQ97+AU97</f>
        <v>132796.0</v>
      </c>
      <c r="AZ97" s="88">
        <f>D97+H97+L97+P97+T97+X97+AB97+AF97+AJ97+AN97+AR97+AV97</f>
        <v>-120896.21</v>
      </c>
      <c r="BA97" s="91">
        <v>0.08960000000000001</v>
      </c>
    </row>
    <row r="98" spans="1:53" ht="16">
      <c r="A98" s="67" t="s">
        <v>94</v>
      </c>
      <c r="B98" s="79">
        <f>B84+B85+B90+B94+B97</f>
        <v>15627.080000000002</v>
      </c>
      <c r="C98" s="79">
        <f>C84+C85+C90+C94+C97</f>
        <v>16376.75</v>
      </c>
      <c r="D98" s="80">
        <f>D84+D85+D90+D94+D97</f>
        <v>-749.6699999999987</v>
      </c>
      <c r="E98" s="84">
        <v>0.9542</v>
      </c>
      <c r="F98" s="79">
        <f>F84+F85+F90+F94+F97</f>
        <v>8073.34</v>
      </c>
      <c r="G98" s="79">
        <f>G84+G85+G90+G94+G97</f>
        <v>16376.75</v>
      </c>
      <c r="H98" s="80">
        <f>H84+H85+H90+H94+H97</f>
        <v>-8303.41</v>
      </c>
      <c r="I98" s="84">
        <v>0.493</v>
      </c>
      <c r="J98" s="79"/>
      <c r="K98" s="79">
        <f>K84+K85+K90+K94+K97</f>
        <v>16376.75</v>
      </c>
      <c r="L98" s="80">
        <f>L84+L85+L90+L94+L97</f>
        <v>-16376.75</v>
      </c>
      <c r="M98" s="84">
        <v>0</v>
      </c>
      <c r="N98" s="79"/>
      <c r="O98" s="79">
        <f>O84+O85+O90+O94+O97</f>
        <v>16376.75</v>
      </c>
      <c r="P98" s="80">
        <f>P84+P85+P90+P94+P97</f>
        <v>-16376.75</v>
      </c>
      <c r="Q98" s="84">
        <v>0</v>
      </c>
      <c r="R98" s="79"/>
      <c r="S98" s="79">
        <f>S84+S85+S90+S94+S97</f>
        <v>16376.75</v>
      </c>
      <c r="T98" s="80">
        <f>T84+T85+T90+T94+T97</f>
        <v>-16376.75</v>
      </c>
      <c r="U98" s="84">
        <v>0</v>
      </c>
      <c r="V98" s="79"/>
      <c r="W98" s="79">
        <f>W84+W85+W90+W94+W97</f>
        <v>16376.75</v>
      </c>
      <c r="X98" s="80">
        <f>X84+X85+X90+X94+X97</f>
        <v>-16376.75</v>
      </c>
      <c r="Y98" s="84">
        <v>0</v>
      </c>
      <c r="Z98" s="79"/>
      <c r="AA98" s="79">
        <f>AA84+AA85+AA90+AA94+AA97</f>
        <v>16376.75</v>
      </c>
      <c r="AB98" s="80">
        <f>AB84+AB85+AB90+AB94+AB97</f>
        <v>-16376.75</v>
      </c>
      <c r="AC98" s="84">
        <v>0</v>
      </c>
      <c r="AD98" s="79"/>
      <c r="AE98" s="79">
        <f>AE84+AE85+AE90+AE94+AE97</f>
        <v>16376.75</v>
      </c>
      <c r="AF98" s="80">
        <f>AF84+AF85+AF90+AF94+AF97</f>
        <v>-16376.75</v>
      </c>
      <c r="AG98" s="84">
        <v>0</v>
      </c>
      <c r="AH98" s="79"/>
      <c r="AI98" s="79">
        <f>AI84+AI85+AI90+AI94+AI97</f>
        <v>16376.75</v>
      </c>
      <c r="AJ98" s="80">
        <f>AJ84+AJ85+AJ90+AJ94+AJ97</f>
        <v>-16376.75</v>
      </c>
      <c r="AK98" s="84">
        <v>0</v>
      </c>
      <c r="AL98" s="79"/>
      <c r="AM98" s="79">
        <f>AM84+AM85+AM90+AM94+AM97</f>
        <v>16376.75</v>
      </c>
      <c r="AN98" s="80">
        <f>AN84+AN85+AN90+AN94+AN97</f>
        <v>-16376.75</v>
      </c>
      <c r="AO98" s="84">
        <v>0</v>
      </c>
      <c r="AP98" s="79"/>
      <c r="AQ98" s="79">
        <f>AQ84+AQ85+AQ90+AQ94+AQ97</f>
        <v>16376.75</v>
      </c>
      <c r="AR98" s="80">
        <f>AR84+AR85+AR90+AR94+AR97</f>
        <v>-16376.75</v>
      </c>
      <c r="AS98" s="84">
        <v>0</v>
      </c>
      <c r="AT98" s="79"/>
      <c r="AU98" s="79">
        <f>AU84+AU85+AU90+AU94+AU97</f>
        <v>16376.75</v>
      </c>
      <c r="AV98" s="80">
        <f>AV84+AV85+AV90+AV94+AV97</f>
        <v>-16376.75</v>
      </c>
      <c r="AW98" s="84">
        <v>0</v>
      </c>
      <c r="AX98" s="87">
        <f>B98+F98+J98+N98+R98+V98+Z98+AD98+AH98+AL98+AP98+AT98</f>
        <v>23700.420000000002</v>
      </c>
      <c r="AY98" s="87">
        <f>C98+G98+K98+O98+S98+W98+AA98+AE98+AI98+AM98+AQ98+AU98</f>
        <v>196521.0</v>
      </c>
      <c r="AZ98" s="88">
        <f>D98+H98+L98+P98+T98+X98+AB98+AF98+AJ98+AN98+AR98+AV98</f>
        <v>-172820.58000000002</v>
      </c>
      <c r="BA98" s="91">
        <v>0.1206</v>
      </c>
    </row>
    <row r="99" spans="1:53" ht="16">
      <c r="A99" s="67" t="s">
        <v>95</v>
      </c>
      <c r="B99" s="80">
        <f>B82-B98</f>
        <v>-15512.330000000002</v>
      </c>
      <c r="C99" s="80">
        <f>C82-C98</f>
        <v>-16376.75</v>
      </c>
      <c r="D99" s="79">
        <f>D82-D98</f>
        <v>864.4199999999987</v>
      </c>
      <c r="E99" s="84">
        <v>0.9472</v>
      </c>
      <c r="F99" s="80">
        <f>F82-F98</f>
        <v>-8073.34</v>
      </c>
      <c r="G99" s="80">
        <f>G82-G98</f>
        <v>-16376.75</v>
      </c>
      <c r="H99" s="79">
        <f>H82-H98</f>
        <v>8303.41</v>
      </c>
      <c r="I99" s="84">
        <v>0.493</v>
      </c>
      <c r="J99" s="79"/>
      <c r="K99" s="80">
        <f>K82-K98</f>
        <v>-16376.75</v>
      </c>
      <c r="L99" s="79">
        <f>L82-L98</f>
        <v>16376.75</v>
      </c>
      <c r="M99" s="84">
        <v>0</v>
      </c>
      <c r="N99" s="79"/>
      <c r="O99" s="80">
        <f>O82-O98</f>
        <v>-16376.75</v>
      </c>
      <c r="P99" s="79">
        <f>P82-P98</f>
        <v>16376.75</v>
      </c>
      <c r="Q99" s="84">
        <v>0</v>
      </c>
      <c r="R99" s="79"/>
      <c r="S99" s="80">
        <f>S82-S98</f>
        <v>-16376.75</v>
      </c>
      <c r="T99" s="79">
        <f>T82-T98</f>
        <v>16376.75</v>
      </c>
      <c r="U99" s="84">
        <v>0</v>
      </c>
      <c r="V99" s="79"/>
      <c r="W99" s="80">
        <f>W82-W98</f>
        <v>-16376.75</v>
      </c>
      <c r="X99" s="79">
        <f>X82-X98</f>
        <v>16376.75</v>
      </c>
      <c r="Y99" s="84">
        <v>0</v>
      </c>
      <c r="Z99" s="79"/>
      <c r="AA99" s="80">
        <f>AA82-AA98</f>
        <v>-16376.75</v>
      </c>
      <c r="AB99" s="79">
        <f>AB82-AB98</f>
        <v>16376.75</v>
      </c>
      <c r="AC99" s="84">
        <v>0</v>
      </c>
      <c r="AD99" s="79"/>
      <c r="AE99" s="80">
        <f>AE82-AE98</f>
        <v>-16376.75</v>
      </c>
      <c r="AF99" s="79">
        <f>AF82-AF98</f>
        <v>16376.75</v>
      </c>
      <c r="AG99" s="84">
        <v>0</v>
      </c>
      <c r="AH99" s="79"/>
      <c r="AI99" s="80">
        <f>AI82-AI98</f>
        <v>-16376.75</v>
      </c>
      <c r="AJ99" s="79">
        <f>AJ82-AJ98</f>
        <v>16376.75</v>
      </c>
      <c r="AK99" s="84">
        <v>0</v>
      </c>
      <c r="AL99" s="79"/>
      <c r="AM99" s="80">
        <f>AM82-AM98</f>
        <v>-16376.75</v>
      </c>
      <c r="AN99" s="79">
        <f>AN82-AN98</f>
        <v>16376.75</v>
      </c>
      <c r="AO99" s="84">
        <v>0</v>
      </c>
      <c r="AP99" s="79"/>
      <c r="AQ99" s="80">
        <f>AQ82-AQ98</f>
        <v>-16376.75</v>
      </c>
      <c r="AR99" s="79">
        <f>AR82-AR98</f>
        <v>16376.75</v>
      </c>
      <c r="AS99" s="84">
        <v>0</v>
      </c>
      <c r="AT99" s="79"/>
      <c r="AU99" s="80">
        <f>AU82-AU98</f>
        <v>-16376.75</v>
      </c>
      <c r="AV99" s="79">
        <f>AV82-AV98</f>
        <v>16376.75</v>
      </c>
      <c r="AW99" s="84">
        <v>0</v>
      </c>
      <c r="AX99" s="88">
        <f>B99+F99+J99+N99+R99+V99+Z99+AD99+AH99+AL99+AP99+AT99</f>
        <v>-23585.670000000002</v>
      </c>
      <c r="AY99" s="88">
        <f>C99+G99+K99+O99+S99+W99+AA99+AE99+AI99+AM99+AQ99+AU99</f>
        <v>-196521.0</v>
      </c>
      <c r="AZ99" s="87">
        <f>D99+H99+L99+P99+T99+X99+AB99+AF99+AJ99+AN99+AR99+AV99</f>
        <v>172935.33000000002</v>
      </c>
      <c r="BA99" s="91">
        <v>0.12</v>
      </c>
    </row>
    <row r="100" spans="1:53" ht="16">
      <c r="A100" s="67" t="s">
        <v>96</v>
      </c>
      <c r="B100" s="80">
        <f>B77+B99</f>
        <v>-9120.369999999995</v>
      </c>
      <c r="C100" s="79">
        <f>C77+C99</f>
        <v>5684.0899999999965</v>
      </c>
      <c r="D100" s="80">
        <f>D77+D99</f>
        <v>-14804.459999999997</v>
      </c>
      <c r="E100" s="86">
        <v>-1.6044999999999998</v>
      </c>
      <c r="F100" s="79">
        <f>F77+F99</f>
        <v>4246.78999999999</v>
      </c>
      <c r="G100" s="79">
        <f>G77+G99</f>
        <v>5684.0899999999965</v>
      </c>
      <c r="H100" s="80">
        <f>H77+H99</f>
        <v>-1437.2999999999993</v>
      </c>
      <c r="I100" s="84">
        <v>0.7471</v>
      </c>
      <c r="J100" s="79"/>
      <c r="K100" s="79">
        <f>K77+K99</f>
        <v>5684.0899999999965</v>
      </c>
      <c r="L100" s="80">
        <f>L77+L99</f>
        <v>-5684.0899999999965</v>
      </c>
      <c r="M100" s="84">
        <v>0</v>
      </c>
      <c r="N100" s="79"/>
      <c r="O100" s="79">
        <f>O77+O99</f>
        <v>5684.0899999999965</v>
      </c>
      <c r="P100" s="80">
        <f>P77+P99</f>
        <v>-5684.0899999999965</v>
      </c>
      <c r="Q100" s="84">
        <v>0</v>
      </c>
      <c r="R100" s="79"/>
      <c r="S100" s="79">
        <f>S77+S99</f>
        <v>5684.0899999999965</v>
      </c>
      <c r="T100" s="80">
        <f>T77+T99</f>
        <v>-5684.0899999999965</v>
      </c>
      <c r="U100" s="84">
        <v>0</v>
      </c>
      <c r="V100" s="79"/>
      <c r="W100" s="79">
        <f>W77+W99</f>
        <v>5684.0899999999965</v>
      </c>
      <c r="X100" s="80">
        <f>X77+X99</f>
        <v>-5684.0899999999965</v>
      </c>
      <c r="Y100" s="84">
        <v>0</v>
      </c>
      <c r="Z100" s="79"/>
      <c r="AA100" s="79">
        <f>AA77+AA99</f>
        <v>5684.0899999999965</v>
      </c>
      <c r="AB100" s="80">
        <f>AB77+AB99</f>
        <v>-5684.0899999999965</v>
      </c>
      <c r="AC100" s="84">
        <v>0</v>
      </c>
      <c r="AD100" s="79"/>
      <c r="AE100" s="79">
        <f>AE77+AE99</f>
        <v>5684.0899999999965</v>
      </c>
      <c r="AF100" s="80">
        <f>AF77+AF99</f>
        <v>-5684.0899999999965</v>
      </c>
      <c r="AG100" s="84">
        <v>0</v>
      </c>
      <c r="AH100" s="79"/>
      <c r="AI100" s="79">
        <f>AI77+AI99</f>
        <v>5684.0899999999965</v>
      </c>
      <c r="AJ100" s="80">
        <f>AJ77+AJ99</f>
        <v>-5684.0899999999965</v>
      </c>
      <c r="AK100" s="84">
        <v>0</v>
      </c>
      <c r="AL100" s="79"/>
      <c r="AM100" s="79">
        <f>AM77+AM99</f>
        <v>5684.0899999999965</v>
      </c>
      <c r="AN100" s="80">
        <f>AN77+AN99</f>
        <v>-5684.0899999999965</v>
      </c>
      <c r="AO100" s="84">
        <v>0</v>
      </c>
      <c r="AP100" s="79"/>
      <c r="AQ100" s="79">
        <f>AQ77+AQ99</f>
        <v>5684.0899999999965</v>
      </c>
      <c r="AR100" s="80">
        <f>AR77+AR99</f>
        <v>-5684.0899999999965</v>
      </c>
      <c r="AS100" s="84">
        <v>0</v>
      </c>
      <c r="AT100" s="79"/>
      <c r="AU100" s="79">
        <f>AU77+AU99</f>
        <v>5684.010000000009</v>
      </c>
      <c r="AV100" s="80">
        <f>AV77+AV99</f>
        <v>-5684.010000000009</v>
      </c>
      <c r="AW100" s="84">
        <v>0</v>
      </c>
      <c r="AX100" s="88">
        <f>B100+F100+J100+N100+R100+V100+Z100+AD100+AH100+AL100+AP100+AT100</f>
        <v>-4873.580000000005</v>
      </c>
      <c r="AY100" s="87">
        <f>C100+G100+K100+O100+S100+W100+AA100+AE100+AI100+AM100+AQ100+AU100</f>
        <v>68208.99999999997</v>
      </c>
      <c r="AZ100" s="88">
        <f>D100+H100+L100+P100+T100+X100+AB100+AF100+AJ100+AN100+AR100+AV100</f>
        <v>-73082.57999999997</v>
      </c>
      <c r="BA100" s="86">
        <v>-0.07150000000000001</v>
      </c>
    </row>
    <row r="104" spans="1:1" ht="16">
      <c r="A104" s="92" t="s">
        <v>115</v>
      </c>
    </row>
  </sheetData>
  <mergeCells count="17">
    <mergeCell ref="A1:BA1"/>
    <mergeCell ref="A2:BA2"/>
    <mergeCell ref="A3:BA3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A104:BA10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